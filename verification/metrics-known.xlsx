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  <sheet name="Показатели" sheetId="3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/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</border>
  </borders>
  <cellStyleXfs count="1">
    <xf numFmtId="0" fontId="0" fillId="0" borderId="0"/>
  </cellStyleXfs>
  <cellXfs count="28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  <xf applyFill="1" applyBorder="1" numFmtId="0" fontId="1" fillId="2" borderId="1" xfId="0" applyNumberFormat="1" applyAlignment="1">
      <alignment vertical="center" wrapText="1"/>
    </xf>
    <xf applyFill="1" applyBorder="1" numFmtId="0" fontId="0" fillId="0" borderId="1" xfId="0" applyNumberFormat="1" applyAlignment="1">
      <alignment vertical="center" wrapText="1"/>
    </xf>
    <xf applyFill="1" applyBorder="1" numFmtId="0" fontId="0" fillId="3" borderId="1" xfId="0" applyNumberFormat="1" applyAlignment="1">
      <alignment vertical="center" wrapText="1"/>
    </xf>
    <xf applyFill="1" applyBorder="1" numFmtId="164" fontId="0" fillId="0" borderId="1" xfId="0" applyNumberFormat="1" applyAlignment="1">
      <alignment vertical="center" wrapText="1"/>
    </xf>
    <xf applyFill="1" applyBorder="1" numFmtId="164" fontId="2" fillId="4" borderId="1" xfId="0" applyNumberFormat="1" applyAlignment="1">
      <alignment vertical="center" wrapText="1"/>
    </xf>
    <xf applyFill="1" applyBorder="1" numFmtId="164" fontId="0" fillId="3" borderId="1" xfId="0" applyNumberFormat="1" applyAlignment="1">
      <alignment vertical="center" wrapText="1"/>
    </xf>
    <xf applyFill="1" applyBorder="1" numFmtId="0" fontId="2" fillId="6" borderId="1" xfId="0" applyNumberFormat="1" applyAlignment="1">
      <alignment vertical="center" wrapText="1"/>
    </xf>
    <xf applyFill="1" applyBorder="1" numFmtId="164" fontId="2" fillId="6" borderId="1" xfId="0" applyNumberFormat="1" applyAlignment="1">
      <alignment vertical="center" wrapText="1"/>
    </xf>
    <xf applyFill="1" applyBorder="1" numFmtId="0" fontId="2" fillId="6" borderId="1" xfId="0" applyNumberFormat="1" applyAlignment="1">
      <alignment vertical="center" wrapText="1"/>
    </xf>
    <xf applyFill="1" applyBorder="1" numFmtId="0" fontId="2" fillId="4" borderId="1" xfId="0" applyNumberFormat="1" applyAlignment="1">
      <alignment vertical="center" wrapText="1"/>
    </xf>
    <xf applyFill="1" applyBorder="1" numFmtId="0" fontId="2" fillId="4" borderId="1" xfId="0" applyNumberFormat="1" applyAlignment="1">
      <alignment vertical="center" wrapText="1"/>
    </xf>
    <xf applyFill="1" applyBorder="1" numFmtId="0" fontId="2" fillId="3" borderId="1" xfId="0" applyNumberFormat="1" applyAlignment="1">
      <alignment vertical="center" wrapText="1"/>
    </xf>
    <xf applyFill="1" applyBorder="1" numFmtId="10" fontId="0" fillId="3" borderId="1" xfId="0" applyNumberFormat="1" applyAlignment="1">
      <alignment vertical="center" wrapText="1"/>
    </xf>
    <xf applyFill="1" applyBorder="1" numFmtId="10" fontId="2" fillId="4" borderId="1" xfId="0" applyNumberFormat="1" applyAlignment="1">
      <alignment vertical="center" wrapText="1"/>
    </xf>
    <xf applyFill="1" applyBorder="1" numFmtId="0" fontId="2" fillId="0" borderId="1" xfId="0" applyNumberFormat="1" applyAlignment="1">
      <alignment vertical="center" wrapText="1"/>
    </xf>
    <xf applyFill="1" applyBorder="1" numFmtId="10" fontId="0" fillId="0" borderId="1" xfId="0" applyNumberFormat="1" applyAlignment="1">
      <alignment vertical="center" wrapText="1"/>
    </xf>
    <xf applyFill="1" applyBorder="1" numFmtId="2" fontId="0" fillId="3" borderId="1" xfId="0" applyNumberFormat="1" applyAlignment="1">
      <alignment vertical="center" wrapText="1"/>
    </xf>
    <xf applyFill="1" applyBorder="1" numFmtId="2" fontId="2" fillId="4" borderId="1" xfId="0" applyNumberFormat="1" applyAlignment="1">
      <alignment vertical="center" wrapText="1"/>
    </xf>
    <xf applyFill="1" applyBorder="1" numFmtId="0" fontId="2" fillId="5" borderId="1" xfId="0" applyNumberFormat="1" applyAlignment="1">
      <alignment vertical="center" wrapText="1"/>
    </xf>
    <xf applyFill="1" applyBorder="1" numFmtId="0" fontId="0" fillId="4" borderId="1" xfId="0" applyNumberFormat="1" applyAlignment="1">
      <alignment vertical="center" wrapText="1"/>
    </xf>
    <xf applyFill="1" applyBorder="1" numFmtId="2" fontId="0" fillId="0" borderId="1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7" t="inlineStr">
        <is>
          <t xml:space="preserve">КОНТУР / Мой бизнес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ht="25" customHeight="1">
      <c r="A2" s="9" t="inlineStr">
        <is>
          <t xml:space="preserve">Базовый · KZT · 12 месяцев. Потоки — сумма; остатки — на конец М12.</t>
        </is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25" customHeight="1">
      <c r="A3" s="7" t="inlineStr">
        <is>
          <t xml:space="preserve">Чистая прибыль</t>
        </is>
      </c>
      <c r="B3" s="10">
        <f>N30</f>
        <v>110</v>
      </c>
      <c r="C3" s="8"/>
      <c r="D3" s="7" t="inlineStr">
        <is>
          <t xml:space="preserve">Выручка</t>
        </is>
      </c>
      <c r="E3" s="10">
        <f>N8</f>
        <v>110</v>
      </c>
      <c r="F3" s="8"/>
      <c r="G3" s="7" t="inlineStr">
        <is>
          <t xml:space="preserve">Деньги на конец</t>
        </is>
      </c>
      <c r="H3" s="10">
        <f>M38</f>
        <v>10</v>
      </c>
      <c r="I3" s="8"/>
      <c r="J3" s="8"/>
      <c r="K3" s="8"/>
      <c r="L3" s="8"/>
      <c r="M3" s="8"/>
      <c r="N3" s="8"/>
      <c r="O3" s="8"/>
    </row>
    <row r="4" ht="30" customHeight="1">
      <c r="A4" s="7" t="inlineStr">
        <is>
          <t xml:space="preserve">Показатель</t>
        </is>
      </c>
      <c r="B4" s="7" t="inlineStr">
        <is>
          <t xml:space="preserve">М1</t>
        </is>
      </c>
      <c r="C4" s="7" t="inlineStr">
        <is>
          <t xml:space="preserve">М2</t>
        </is>
      </c>
      <c r="D4" s="7" t="inlineStr">
        <is>
          <t xml:space="preserve">М3</t>
        </is>
      </c>
      <c r="E4" s="7" t="inlineStr">
        <is>
          <t xml:space="preserve">М4</t>
        </is>
      </c>
      <c r="F4" s="7" t="inlineStr">
        <is>
          <t xml:space="preserve">М5</t>
        </is>
      </c>
      <c r="G4" s="7" t="inlineStr">
        <is>
          <t xml:space="preserve">М6</t>
        </is>
      </c>
      <c r="H4" s="7" t="inlineStr">
        <is>
          <t xml:space="preserve">М7</t>
        </is>
      </c>
      <c r="I4" s="7" t="inlineStr">
        <is>
          <t xml:space="preserve">М8</t>
        </is>
      </c>
      <c r="J4" s="7" t="inlineStr">
        <is>
          <t xml:space="preserve">М9</t>
        </is>
      </c>
      <c r="K4" s="7" t="inlineStr">
        <is>
          <t xml:space="preserve">М10</t>
        </is>
      </c>
      <c r="L4" s="7" t="inlineStr">
        <is>
          <t xml:space="preserve">М11</t>
        </is>
      </c>
      <c r="M4" s="7" t="inlineStr">
        <is>
          <t xml:space="preserve">М12</t>
        </is>
      </c>
      <c r="N4" s="7" t="inlineStr">
        <is>
          <t xml:space="preserve">Год / конец</t>
        </is>
      </c>
      <c r="O4" s="7" t="inlineStr">
        <is>
          <t xml:space="preserve">Как считается</t>
        </is>
      </c>
    </row>
    <row r="5" ht="25" customHeight="1">
      <c r="A5" s="8" t="inlineStr">
        <is>
          <t xml:space="preserve">Основной продукт · количество</t>
        </is>
      </c>
      <c r="B5" s="10">
        <f>IF(AND((1&gt;='Вводные'!$B$47),(1&lt;='Вводные'!$B$48)),(('Вводные'!$B$43*'Вводные'!$B$29)*((1+('Вводные'!$B$45/100))^MAX(0,(1-'Вводные'!$B$47)))),0)</f>
        <v>300</v>
      </c>
      <c r="C5" s="10">
        <f>IF(AND((2&gt;='Вводные'!$B$47),(2&lt;='Вводные'!$B$48)),(('Вводные'!$B$43*'Вводные'!$B$29)*((1+('Вводные'!$B$45/100))^MAX(0,(2-'Вводные'!$B$47)))),0)</f>
        <v>312</v>
      </c>
      <c r="D5" s="10">
        <f>IF(AND((3&gt;='Вводные'!$B$47),(3&lt;='Вводные'!$B$48)),(('Вводные'!$B$43*'Вводные'!$B$29)*((1+('Вводные'!$B$45/100))^MAX(0,(3-'Вводные'!$B$47)))),0)</f>
        <v>324.48</v>
      </c>
      <c r="E5" s="10">
        <f>IF(AND((4&gt;='Вводные'!$B$47),(4&lt;='Вводные'!$B$48)),(('Вводные'!$B$43*'Вводные'!$B$29)*((1+('Вводные'!$B$45/100))^MAX(0,(4-'Вводные'!$B$47)))),0)</f>
        <v>337.4592</v>
      </c>
      <c r="F5" s="10">
        <f>IF(AND((5&gt;='Вводные'!$B$47),(5&lt;='Вводные'!$B$48)),(('Вводные'!$B$43*'Вводные'!$B$29)*((1+('Вводные'!$B$45/100))^MAX(0,(5-'Вводные'!$B$47)))),0)</f>
        <v>350.95756800000004</v>
      </c>
      <c r="G5" s="10">
        <f>IF(AND((6&gt;='Вводные'!$B$47),(6&lt;='Вводные'!$B$48)),(('Вводные'!$B$43*'Вводные'!$B$29)*((1+('Вводные'!$B$45/100))^MAX(0,(6-'Вводные'!$B$47)))),0)</f>
        <v>364.99587072</v>
      </c>
      <c r="H5" s="10">
        <f>IF(AND((7&gt;='Вводные'!$B$47),(7&lt;='Вводные'!$B$48)),(('Вводные'!$B$43*'Вводные'!$B$29)*((1+('Вводные'!$B$45/100))^MAX(0,(7-'Вводные'!$B$47)))),0)</f>
        <v>379.5957055488001</v>
      </c>
      <c r="I5" s="10">
        <f>IF(AND((8&gt;='Вводные'!$B$47),(8&lt;='Вводные'!$B$48)),(('Вводные'!$B$43*'Вводные'!$B$29)*((1+('Вводные'!$B$45/100))^MAX(0,(8-'Вводные'!$B$47)))),0)</f>
        <v>394.7795337707521</v>
      </c>
      <c r="J5" s="10">
        <f>IF(AND((9&gt;='Вводные'!$B$47),(9&lt;='Вводные'!$B$48)),(('Вводные'!$B$43*'Вводные'!$B$29)*((1+('Вводные'!$B$45/100))^MAX(0,(9-'Вводные'!$B$47)))),0)</f>
        <v>410.57071512158217</v>
      </c>
      <c r="K5" s="10">
        <f>IF(AND((10&gt;='Вводные'!$B$47),(10&lt;='Вводные'!$B$48)),(('Вводные'!$B$43*'Вводные'!$B$29)*((1+('Вводные'!$B$45/100))^MAX(0,(10-'Вводные'!$B$47)))),0)</f>
        <v>426.99354372644547</v>
      </c>
      <c r="L5" s="10">
        <f>IF(AND((11&gt;='Вводные'!$B$47),(11&lt;='Вводные'!$B$48)),(('Вводные'!$B$43*'Вводные'!$B$29)*((1+('Вводные'!$B$45/100))^MAX(0,(11-'Вводные'!$B$47)))),0)</f>
        <v>444.0732854755033</v>
      </c>
      <c r="M5" s="10">
        <f>IF(AND((12&gt;='Вводные'!$B$47),(12&lt;='Вводные'!$B$48)),(('Вводные'!$B$43*'Вводные'!$B$29)*((1+('Вводные'!$B$45/100))^MAX(0,(12-'Вводные'!$B$47)))),0)</f>
        <v>461.8362168945235</v>
      </c>
      <c r="N5" s="11">
        <f>SUM(B5:M5)</f>
        <v>4507.741639257606</v>
      </c>
      <c r="O5" s="8" t="inlineStr">
        <is>
          <t xml:space="preserve">Продажи</t>
        </is>
      </c>
    </row>
    <row r="6" ht="25" customHeight="1">
      <c r="A6" s="9" t="inlineStr">
        <is>
          <t xml:space="preserve">Основной продукт · выручка</t>
        </is>
      </c>
      <c r="B6" s="12">
        <f>(B5*'Вводные'!$B$44)</f>
        <v>2550000</v>
      </c>
      <c r="C6" s="12">
        <f>(C5*'Вводные'!$B$44)</f>
        <v>2652000</v>
      </c>
      <c r="D6" s="12">
        <f>(D5*'Вводные'!$B$44)</f>
        <v>2758080</v>
      </c>
      <c r="E6" s="12">
        <f>(E5*'Вводные'!$B$44)</f>
        <v>2868403.2</v>
      </c>
      <c r="F6" s="12">
        <f>(F5*'Вводные'!$B$44)</f>
        <v>2983139.328</v>
      </c>
      <c r="G6" s="12">
        <f>(G5*'Вводные'!$B$44)</f>
        <v>3102464.90112</v>
      </c>
      <c r="H6" s="12">
        <f>(H5*'Вводные'!$B$44)</f>
        <v>3226563.4971648008</v>
      </c>
      <c r="I6" s="12">
        <f>(I5*'Вводные'!$B$44)</f>
        <v>3355626.0370513927</v>
      </c>
      <c r="J6" s="12">
        <f>(J5*'Вводные'!$B$44)</f>
        <v>3489851.0785334483</v>
      </c>
      <c r="K6" s="12">
        <f>(K5*'Вводные'!$B$44)</f>
        <v>3629445.1216747863</v>
      </c>
      <c r="L6" s="12">
        <f>(L5*'Вводные'!$B$44)</f>
        <v>3774622.9265417783</v>
      </c>
      <c r="M6" s="12">
        <f>(M5*'Вводные'!$B$44)</f>
        <v>3925607.84360345</v>
      </c>
      <c r="N6" s="11">
        <f>SUM(B6:M6)</f>
        <v>38315803.933689654</v>
      </c>
      <c r="O6" s="9" t="inlineStr">
        <is>
          <t xml:space="preserve">Продажи</t>
        </is>
      </c>
    </row>
    <row r="7" ht="25" customHeight="1">
      <c r="A7" s="8" t="inlineStr">
        <is>
          <t xml:space="preserve">Основной продукт · себестоимость</t>
        </is>
      </c>
      <c r="B7" s="10">
        <f>(B6*('Вводные'!$B$46/100))</f>
        <v>892500</v>
      </c>
      <c r="C7" s="10">
        <f>(C6*('Вводные'!$B$46/100))</f>
        <v>928199.9999999999</v>
      </c>
      <c r="D7" s="10">
        <f>(D6*('Вводные'!$B$46/100))</f>
        <v>965327.9999999999</v>
      </c>
      <c r="E7" s="10">
        <f>(E6*('Вводные'!$B$46/100))</f>
        <v>1003941.12</v>
      </c>
      <c r="F7" s="10">
        <f>(F6*('Вводные'!$B$46/100))</f>
        <v>1044098.7648</v>
      </c>
      <c r="G7" s="10">
        <f>(G6*('Вводные'!$B$46/100))</f>
        <v>1085862.715392</v>
      </c>
      <c r="H7" s="10">
        <f>(H6*('Вводные'!$B$46/100))</f>
        <v>1129297.22400768</v>
      </c>
      <c r="I7" s="10">
        <f>(I6*('Вводные'!$B$46/100))</f>
        <v>1174469.1129679873</v>
      </c>
      <c r="J7" s="10">
        <f>(J6*('Вводные'!$B$46/100))</f>
        <v>1221447.8774867067</v>
      </c>
      <c r="K7" s="10">
        <f>(K6*('Вводные'!$B$46/100))</f>
        <v>1270305.792586175</v>
      </c>
      <c r="L7" s="10">
        <f>(L6*('Вводные'!$B$46/100))</f>
        <v>1321118.0242896222</v>
      </c>
      <c r="M7" s="10">
        <f>(M6*('Вводные'!$B$46/100))</f>
        <v>1373962.7452612075</v>
      </c>
      <c r="N7" s="11">
        <f>SUM(B7:M7)</f>
        <v>13410531.37679138</v>
      </c>
      <c r="O7" s="8" t="inlineStr">
        <is>
          <t xml:space="preserve">Продажи</t>
        </is>
      </c>
    </row>
    <row r="8" ht="55" customHeight="1">
      <c r="A8" s="13" t="inlineStr">
        <is>
          <t xml:space="preserve">Выручка / оборот</t>
        </is>
      </c>
      <c r="B8" s="14">
        <f>IF(('Вводные'!$B$4="manual"),('Вводные'!$B$30*'Вводные'!$B$29),B6)</f>
        <v>0</v>
      </c>
      <c r="C8" s="14">
        <f>IF(('Вводные'!$B$4="manual"),('Вводные'!$B$31*'Вводные'!$B$29),C6)</f>
        <v>0</v>
      </c>
      <c r="D8" s="14">
        <f>IF(('Вводные'!$B$4="manual"),('Вводные'!$B$32*'Вводные'!$B$29),D6)</f>
        <v>0</v>
      </c>
      <c r="E8" s="14">
        <f>IF(('Вводные'!$B$4="manual"),('Вводные'!$B$33*'Вводные'!$B$29),E6)</f>
        <v>0</v>
      </c>
      <c r="F8" s="14">
        <f>IF(('Вводные'!$B$4="manual"),('Вводные'!$B$34*'Вводные'!$B$29),F6)</f>
        <v>0</v>
      </c>
      <c r="G8" s="14">
        <f>IF(('Вводные'!$B$4="manual"),('Вводные'!$B$35*'Вводные'!$B$29),G6)</f>
        <v>0</v>
      </c>
      <c r="H8" s="14">
        <f>IF(('Вводные'!$B$4="manual"),('Вводные'!$B$36*'Вводные'!$B$29),H6)</f>
        <v>0</v>
      </c>
      <c r="I8" s="14">
        <f>IF(('Вводные'!$B$4="manual"),('Вводные'!$B$37*'Вводные'!$B$29),I6)</f>
        <v>0</v>
      </c>
      <c r="J8" s="14">
        <f>IF(('Вводные'!$B$4="manual"),('Вводные'!$B$38*'Вводные'!$B$29),J6)</f>
        <v>0</v>
      </c>
      <c r="K8" s="14">
        <f>IF(('Вводные'!$B$4="manual"),('Вводные'!$B$39*'Вводные'!$B$29),K6)</f>
        <v>0</v>
      </c>
      <c r="L8" s="14">
        <f>IF(('Вводные'!$B$4="manual"),('Вводные'!$B$40*'Вводные'!$B$29),L6)</f>
        <v>0</v>
      </c>
      <c r="M8" s="14">
        <f>IF(('Вводные'!$B$4="manual"),('Вводные'!$B$41*'Вводные'!$B$29),M6)</f>
        <v>110</v>
      </c>
      <c r="N8" s="14">
        <f>SUM(B8:M8)</f>
        <v>110</v>
      </c>
      <c r="O8" s="15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16" t="inlineStr">
        <is>
          <t xml:space="preserve">Себестоимость продаж</t>
        </is>
      </c>
      <c r="B9" s="11">
        <f>IF(('Вводные'!$B$4="manual"),(B8*('Вводные'!$B$5/100)),B7)</f>
        <v>0</v>
      </c>
      <c r="C9" s="11">
        <f>IF(('Вводные'!$B$4="manual"),(C8*('Вводные'!$B$5/100)),C7)</f>
        <v>0</v>
      </c>
      <c r="D9" s="11">
        <f>IF(('Вводные'!$B$4="manual"),(D8*('Вводные'!$B$5/100)),D7)</f>
        <v>0</v>
      </c>
      <c r="E9" s="11">
        <f>IF(('Вводные'!$B$4="manual"),(E8*('Вводные'!$B$5/100)),E7)</f>
        <v>0</v>
      </c>
      <c r="F9" s="11">
        <f>IF(('Вводные'!$B$4="manual"),(F8*('Вводные'!$B$5/100)),F7)</f>
        <v>0</v>
      </c>
      <c r="G9" s="11">
        <f>IF(('Вводные'!$B$4="manual"),(G8*('Вводные'!$B$5/100)),G7)</f>
        <v>0</v>
      </c>
      <c r="H9" s="11">
        <f>IF(('Вводные'!$B$4="manual"),(H8*('Вводные'!$B$5/100)),H7)</f>
        <v>0</v>
      </c>
      <c r="I9" s="11">
        <f>IF(('Вводные'!$B$4="manual"),(I8*('Вводные'!$B$5/100)),I7)</f>
        <v>0</v>
      </c>
      <c r="J9" s="11">
        <f>IF(('Вводные'!$B$4="manual"),(J8*('Вводные'!$B$5/100)),J7)</f>
        <v>0</v>
      </c>
      <c r="K9" s="11">
        <f>IF(('Вводные'!$B$4="manual"),(K8*('Вводные'!$B$5/100)),K7)</f>
        <v>0</v>
      </c>
      <c r="L9" s="11">
        <f>IF(('Вводные'!$B$4="manual"),(L8*('Вводные'!$B$5/100)),L7)</f>
        <v>0</v>
      </c>
      <c r="M9" s="11">
        <f>IF(('Вводные'!$B$4="manual"),(M8*('Вводные'!$B$5/100)),M7)</f>
        <v>0</v>
      </c>
      <c r="N9" s="11">
        <f>SUM(B9:M9)</f>
        <v>0</v>
      </c>
      <c r="O9" s="17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16" t="inlineStr">
        <is>
          <t xml:space="preserve">Валовая прибыль</t>
        </is>
      </c>
      <c r="B10" s="11">
        <f>(B8-B9)</f>
        <v>0</v>
      </c>
      <c r="C10" s="11">
        <f>(C8-C9)</f>
        <v>0</v>
      </c>
      <c r="D10" s="11">
        <f>(D8-D9)</f>
        <v>0</v>
      </c>
      <c r="E10" s="11">
        <f>(E8-E9)</f>
        <v>0</v>
      </c>
      <c r="F10" s="11">
        <f>(F8-F9)</f>
        <v>0</v>
      </c>
      <c r="G10" s="11">
        <f>(G8-G9)</f>
        <v>0</v>
      </c>
      <c r="H10" s="11">
        <f>(H8-H9)</f>
        <v>0</v>
      </c>
      <c r="I10" s="11">
        <f>(I8-I9)</f>
        <v>0</v>
      </c>
      <c r="J10" s="11">
        <f>(J8-J9)</f>
        <v>0</v>
      </c>
      <c r="K10" s="11">
        <f>(K8-K9)</f>
        <v>0</v>
      </c>
      <c r="L10" s="11">
        <f>(L8-L9)</f>
        <v>0</v>
      </c>
      <c r="M10" s="11">
        <f>(M8-M9)</f>
        <v>110</v>
      </c>
      <c r="N10" s="11">
        <f>SUM(B10:M10)</f>
        <v>110</v>
      </c>
      <c r="O10" s="17" t="inlineStr">
        <is>
          <t xml:space="preserve">Выручка − себестоимость.</t>
        </is>
      </c>
    </row>
    <row r="11" ht="25" customHeight="1">
      <c r="A11" s="16" t="inlineStr">
        <is>
          <t xml:space="preserve">Оклады и бонусы</t>
        </is>
      </c>
      <c r="B11" s="11">
        <f>0</f>
        <v>0</v>
      </c>
      <c r="C11" s="11">
        <f>0</f>
        <v>0</v>
      </c>
      <c r="D11" s="11">
        <f>0</f>
        <v>0</v>
      </c>
      <c r="E11" s="11">
        <f>0</f>
        <v>0</v>
      </c>
      <c r="F11" s="11">
        <f>0</f>
        <v>0</v>
      </c>
      <c r="G11" s="11">
        <f>0</f>
        <v>0</v>
      </c>
      <c r="H11" s="11">
        <f>0</f>
        <v>0</v>
      </c>
      <c r="I11" s="11">
        <f>0</f>
        <v>0</v>
      </c>
      <c r="J11" s="11">
        <f>0</f>
        <v>0</v>
      </c>
      <c r="K11" s="11">
        <f>0</f>
        <v>0</v>
      </c>
      <c r="L11" s="11">
        <f>0</f>
        <v>0</v>
      </c>
      <c r="M11" s="11">
        <f>0</f>
        <v>0</v>
      </c>
      <c r="N11" s="11">
        <f>SUM(B11:M11)</f>
        <v>0</v>
      </c>
      <c r="O11" s="17" t="inlineStr">
        <is>
          <t xml:space="preserve">Команда</t>
        </is>
      </c>
    </row>
    <row r="12" ht="25" customHeight="1">
      <c r="A12" s="16" t="inlineStr">
        <is>
          <t xml:space="preserve">Начисления работодателя</t>
        </is>
      </c>
      <c r="B12" s="11">
        <f>0</f>
        <v>0</v>
      </c>
      <c r="C12" s="11">
        <f>0</f>
        <v>0</v>
      </c>
      <c r="D12" s="11">
        <f>0</f>
        <v>0</v>
      </c>
      <c r="E12" s="11">
        <f>0</f>
        <v>0</v>
      </c>
      <c r="F12" s="11">
        <f>0</f>
        <v>0</v>
      </c>
      <c r="G12" s="11">
        <f>0</f>
        <v>0</v>
      </c>
      <c r="H12" s="11">
        <f>0</f>
        <v>0</v>
      </c>
      <c r="I12" s="11">
        <f>0</f>
        <v>0</v>
      </c>
      <c r="J12" s="11">
        <f>0</f>
        <v>0</v>
      </c>
      <c r="K12" s="11">
        <f>0</f>
        <v>0</v>
      </c>
      <c r="L12" s="11">
        <f>0</f>
        <v>0</v>
      </c>
      <c r="M12" s="11">
        <f>0</f>
        <v>0</v>
      </c>
      <c r="N12" s="11">
        <f>SUM(B12:M12)</f>
        <v>0</v>
      </c>
      <c r="O12" s="17" t="inlineStr">
        <is>
          <t xml:space="preserve">Команда</t>
        </is>
      </c>
    </row>
    <row r="13" ht="55" customHeight="1">
      <c r="A13" s="16" t="inlineStr">
        <is>
          <t xml:space="preserve">Команда — всего</t>
        </is>
      </c>
      <c r="B13" s="11">
        <f>(B11+B12)</f>
        <v>0</v>
      </c>
      <c r="C13" s="11">
        <f>(C11+C12)</f>
        <v>0</v>
      </c>
      <c r="D13" s="11">
        <f>(D11+D12)</f>
        <v>0</v>
      </c>
      <c r="E13" s="11">
        <f>(E11+E12)</f>
        <v>0</v>
      </c>
      <c r="F13" s="11">
        <f>(F11+F12)</f>
        <v>0</v>
      </c>
      <c r="G13" s="11">
        <f>(G11+G12)</f>
        <v>0</v>
      </c>
      <c r="H13" s="11">
        <f>(H11+H12)</f>
        <v>0</v>
      </c>
      <c r="I13" s="11">
        <f>(I11+I12)</f>
        <v>0</v>
      </c>
      <c r="J13" s="11">
        <f>(J11+J12)</f>
        <v>0</v>
      </c>
      <c r="K13" s="11">
        <f>(K11+K12)</f>
        <v>0</v>
      </c>
      <c r="L13" s="11">
        <f>(L11+L12)</f>
        <v>0</v>
      </c>
      <c r="M13" s="11">
        <f>(M11+M12)</f>
        <v>0</v>
      </c>
      <c r="N13" s="11">
        <f>SUM(B13:M13)</f>
        <v>0</v>
      </c>
      <c r="O13" s="17" t="inlineStr">
        <is>
          <t xml:space="preserve">Количество × (оклад + бонус) × рост × (1 + начисления). Ставки задаёте вы.</t>
        </is>
      </c>
    </row>
    <row r="14" ht="55" customHeight="1">
      <c r="A14" s="16" t="inlineStr">
        <is>
          <t xml:space="preserve">Маркетинг — всего</t>
        </is>
      </c>
      <c r="B14" s="11">
        <f>0</f>
        <v>0</v>
      </c>
      <c r="C14" s="11">
        <f>0</f>
        <v>0</v>
      </c>
      <c r="D14" s="11">
        <f>0</f>
        <v>0</v>
      </c>
      <c r="E14" s="11">
        <f>0</f>
        <v>0</v>
      </c>
      <c r="F14" s="11">
        <f>0</f>
        <v>0</v>
      </c>
      <c r="G14" s="11">
        <f>0</f>
        <v>0</v>
      </c>
      <c r="H14" s="11">
        <f>0</f>
        <v>0</v>
      </c>
      <c r="I14" s="11">
        <f>0</f>
        <v>0</v>
      </c>
      <c r="J14" s="11">
        <f>0</f>
        <v>0</v>
      </c>
      <c r="K14" s="11">
        <f>0</f>
        <v>0</v>
      </c>
      <c r="L14" s="11">
        <f>0</f>
        <v>0</v>
      </c>
      <c r="M14" s="11">
        <f>0</f>
        <v>0</v>
      </c>
      <c r="N14" s="11">
        <f>SUM(B14:M14)</f>
        <v>0</v>
      </c>
      <c r="O14" s="17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15" ht="25" customHeight="1">
      <c r="A15" s="16" t="inlineStr">
        <is>
          <t xml:space="preserve">Заявки из рекламы, шт.</t>
        </is>
      </c>
      <c r="B15" s="11">
        <f>0</f>
        <v>0</v>
      </c>
      <c r="C15" s="11">
        <f>0</f>
        <v>0</v>
      </c>
      <c r="D15" s="11">
        <f>0</f>
        <v>0</v>
      </c>
      <c r="E15" s="11">
        <f>0</f>
        <v>0</v>
      </c>
      <c r="F15" s="11">
        <f>0</f>
        <v>0</v>
      </c>
      <c r="G15" s="11">
        <f>0</f>
        <v>0</v>
      </c>
      <c r="H15" s="11">
        <f>0</f>
        <v>0</v>
      </c>
      <c r="I15" s="11">
        <f>0</f>
        <v>0</v>
      </c>
      <c r="J15" s="11">
        <f>0</f>
        <v>0</v>
      </c>
      <c r="K15" s="11">
        <f>0</f>
        <v>0</v>
      </c>
      <c r="L15" s="11">
        <f>0</f>
        <v>0</v>
      </c>
      <c r="M15" s="11">
        <f>0</f>
        <v>0</v>
      </c>
      <c r="N15" s="11">
        <f>SUM(B15:M15)</f>
        <v>0</v>
      </c>
      <c r="O15" s="17" t="inlineStr">
        <is>
          <t xml:space="preserve">Маркетинг</t>
        </is>
      </c>
    </row>
    <row r="16" ht="25" customHeight="1">
      <c r="A16" s="16" t="inlineStr">
        <is>
          <t xml:space="preserve">Клиенты из рекламы, шт.</t>
        </is>
      </c>
      <c r="B16" s="11">
        <f>0</f>
        <v>0</v>
      </c>
      <c r="C16" s="11">
        <f>0</f>
        <v>0</v>
      </c>
      <c r="D16" s="11">
        <f>0</f>
        <v>0</v>
      </c>
      <c r="E16" s="11">
        <f>0</f>
        <v>0</v>
      </c>
      <c r="F16" s="11">
        <f>0</f>
        <v>0</v>
      </c>
      <c r="G16" s="11">
        <f>0</f>
        <v>0</v>
      </c>
      <c r="H16" s="11">
        <f>0</f>
        <v>0</v>
      </c>
      <c r="I16" s="11">
        <f>0</f>
        <v>0</v>
      </c>
      <c r="J16" s="11">
        <f>0</f>
        <v>0</v>
      </c>
      <c r="K16" s="11">
        <f>0</f>
        <v>0</v>
      </c>
      <c r="L16" s="11">
        <f>0</f>
        <v>0</v>
      </c>
      <c r="M16" s="11">
        <f>0</f>
        <v>0</v>
      </c>
      <c r="N16" s="11">
        <f>SUM(B16:M16)</f>
        <v>0</v>
      </c>
      <c r="O16" s="17" t="inlineStr">
        <is>
          <t xml:space="preserve">Маркетинг</t>
        </is>
      </c>
    </row>
    <row r="17" ht="55" customHeight="1">
      <c r="A17" s="16" t="inlineStr">
        <is>
          <t xml:space="preserve">Оценка выручки из рекламы</t>
        </is>
      </c>
      <c r="B17" s="11">
        <f>0</f>
        <v>0</v>
      </c>
      <c r="C17" s="11">
        <f>0</f>
        <v>0</v>
      </c>
      <c r="D17" s="11">
        <f>0</f>
        <v>0</v>
      </c>
      <c r="E17" s="11">
        <f>0</f>
        <v>0</v>
      </c>
      <c r="F17" s="11">
        <f>0</f>
        <v>0</v>
      </c>
      <c r="G17" s="11">
        <f>0</f>
        <v>0</v>
      </c>
      <c r="H17" s="11">
        <f>0</f>
        <v>0</v>
      </c>
      <c r="I17" s="11">
        <f>0</f>
        <v>0</v>
      </c>
      <c r="J17" s="11">
        <f>0</f>
        <v>0</v>
      </c>
      <c r="K17" s="11">
        <f>0</f>
        <v>0</v>
      </c>
      <c r="L17" s="11">
        <f>0</f>
        <v>0</v>
      </c>
      <c r="M17" s="11">
        <f>0</f>
        <v>0</v>
      </c>
      <c r="N17" s="11">
        <f>SUM(B17:M17)</f>
        <v>0</v>
      </c>
      <c r="O17" s="17" t="inlineStr">
        <is>
          <t xml:space="preserve">Клиенты × чек каждого канала. Не прибавляется к обороту, чтобы не считать продажи дважды.</t>
        </is>
      </c>
    </row>
    <row r="18" ht="25" customHeight="1">
      <c r="A18" s="16" t="inlineStr">
        <is>
          <t xml:space="preserve">Прочие расходы — всего</t>
        </is>
      </c>
      <c r="B18" s="11">
        <f>0</f>
        <v>0</v>
      </c>
      <c r="C18" s="11">
        <f>0</f>
        <v>0</v>
      </c>
      <c r="D18" s="11">
        <f>0</f>
        <v>0</v>
      </c>
      <c r="E18" s="11">
        <f>0</f>
        <v>0</v>
      </c>
      <c r="F18" s="11">
        <f>0</f>
        <v>0</v>
      </c>
      <c r="G18" s="11">
        <f>0</f>
        <v>0</v>
      </c>
      <c r="H18" s="11">
        <f>0</f>
        <v>0</v>
      </c>
      <c r="I18" s="11">
        <f>0</f>
        <v>0</v>
      </c>
      <c r="J18" s="11">
        <f>0</f>
        <v>0</v>
      </c>
      <c r="K18" s="11">
        <f>0</f>
        <v>0</v>
      </c>
      <c r="L18" s="11">
        <f>0</f>
        <v>0</v>
      </c>
      <c r="M18" s="11">
        <f>0</f>
        <v>0</v>
      </c>
      <c r="N18" s="11">
        <f>SUM(B18:M18)</f>
        <v>0</v>
      </c>
      <c r="O18" s="17" t="inlineStr">
        <is>
          <t xml:space="preserve">Результат</t>
        </is>
      </c>
    </row>
    <row r="19" ht="55" customHeight="1">
      <c r="A19" s="16" t="inlineStr">
        <is>
          <t xml:space="preserve">Операционные расходы</t>
        </is>
      </c>
      <c r="B19" s="11">
        <f>((B13+B14)+B18)</f>
        <v>0</v>
      </c>
      <c r="C19" s="11">
        <f>((C13+C14)+C18)</f>
        <v>0</v>
      </c>
      <c r="D19" s="11">
        <f>((D13+D14)+D18)</f>
        <v>0</v>
      </c>
      <c r="E19" s="11">
        <f>((E13+E14)+E18)</f>
        <v>0</v>
      </c>
      <c r="F19" s="11">
        <f>((F13+F14)+F18)</f>
        <v>0</v>
      </c>
      <c r="G19" s="11">
        <f>((G13+G14)+G18)</f>
        <v>0</v>
      </c>
      <c r="H19" s="11">
        <f>((H13+H14)+H18)</f>
        <v>0</v>
      </c>
      <c r="I19" s="11">
        <f>((I13+I14)+I18)</f>
        <v>0</v>
      </c>
      <c r="J19" s="11">
        <f>((J13+J14)+J18)</f>
        <v>0</v>
      </c>
      <c r="K19" s="11">
        <f>((K13+K14)+K18)</f>
        <v>0</v>
      </c>
      <c r="L19" s="11">
        <f>((L13+L14)+L18)</f>
        <v>0</v>
      </c>
      <c r="M19" s="11">
        <f>((M13+M14)+M18)</f>
        <v>0</v>
      </c>
      <c r="N19" s="11">
        <f>SUM(B19:M19)</f>
        <v>0</v>
      </c>
      <c r="O19" s="17" t="inlineStr">
        <is>
          <t xml:space="preserve">Команда + маркетинг + прочие расходы.</t>
        </is>
      </c>
    </row>
    <row r="20" ht="55" customHeight="1">
      <c r="A20" s="16" t="inlineStr">
        <is>
          <t xml:space="preserve">EBITDA</t>
        </is>
      </c>
      <c r="B20" s="11">
        <f>(B10-B19)</f>
        <v>0</v>
      </c>
      <c r="C20" s="11">
        <f>(C10-C19)</f>
        <v>0</v>
      </c>
      <c r="D20" s="11">
        <f>(D10-D19)</f>
        <v>0</v>
      </c>
      <c r="E20" s="11">
        <f>(E10-E19)</f>
        <v>0</v>
      </c>
      <c r="F20" s="11">
        <f>(F10-F19)</f>
        <v>0</v>
      </c>
      <c r="G20" s="11">
        <f>(G10-G19)</f>
        <v>0</v>
      </c>
      <c r="H20" s="11">
        <f>(H10-H19)</f>
        <v>0</v>
      </c>
      <c r="I20" s="11">
        <f>(I10-I19)</f>
        <v>0</v>
      </c>
      <c r="J20" s="11">
        <f>(J10-J19)</f>
        <v>0</v>
      </c>
      <c r="K20" s="11">
        <f>(K10-K19)</f>
        <v>0</v>
      </c>
      <c r="L20" s="11">
        <f>(L10-L19)</f>
        <v>0</v>
      </c>
      <c r="M20" s="11">
        <f>(M10-M19)</f>
        <v>110</v>
      </c>
      <c r="N20" s="11">
        <f>SUM(B20:M20)</f>
        <v>110</v>
      </c>
      <c r="O20" s="17" t="inlineStr">
        <is>
          <t xml:space="preserve">Валовая прибыль − операционные расходы; до амортизации, процентов и налога.</t>
        </is>
      </c>
    </row>
    <row r="21" ht="25" customHeight="1">
      <c r="A21" s="16" t="inlineStr">
        <is>
          <t xml:space="preserve">Покупка активов</t>
        </is>
      </c>
      <c r="B21" s="11">
        <f>0</f>
        <v>0</v>
      </c>
      <c r="C21" s="11">
        <f>0</f>
        <v>0</v>
      </c>
      <c r="D21" s="11">
        <f>0</f>
        <v>0</v>
      </c>
      <c r="E21" s="11">
        <f>0</f>
        <v>0</v>
      </c>
      <c r="F21" s="11">
        <f>0</f>
        <v>0</v>
      </c>
      <c r="G21" s="11">
        <f>0</f>
        <v>0</v>
      </c>
      <c r="H21" s="11">
        <f>0</f>
        <v>0</v>
      </c>
      <c r="I21" s="11">
        <f>0</f>
        <v>0</v>
      </c>
      <c r="J21" s="11">
        <f>0</f>
        <v>0</v>
      </c>
      <c r="K21" s="11">
        <f>0</f>
        <v>0</v>
      </c>
      <c r="L21" s="11">
        <f>0</f>
        <v>0</v>
      </c>
      <c r="M21" s="11">
        <f>0</f>
        <v>0</v>
      </c>
      <c r="N21" s="11">
        <f>SUM(B21:M21)</f>
        <v>0</v>
      </c>
      <c r="O21" s="17" t="inlineStr">
        <is>
          <t xml:space="preserve">Денежный поток</t>
        </is>
      </c>
    </row>
    <row r="22" ht="55" customHeight="1">
      <c r="A22" s="16" t="inlineStr">
        <is>
          <t xml:space="preserve">Амортизация</t>
        </is>
      </c>
      <c r="B22" s="11">
        <f>(IF(AND(('Вводные'!$B$13&gt;0),(1&lt;='Вводные'!$B$13)),('Вводные'!$B$12/MAX(1,'Вводные'!$B$13)),0)+0)</f>
        <v>0</v>
      </c>
      <c r="C22" s="11">
        <f>(IF(AND(('Вводные'!$B$13&gt;0),(2&lt;='Вводные'!$B$13)),('Вводные'!$B$12/MAX(1,'Вводные'!$B$13)),0)+0)</f>
        <v>0</v>
      </c>
      <c r="D22" s="11">
        <f>(IF(AND(('Вводные'!$B$13&gt;0),(3&lt;='Вводные'!$B$13)),('Вводные'!$B$12/MAX(1,'Вводные'!$B$13)),0)+0)</f>
        <v>0</v>
      </c>
      <c r="E22" s="11">
        <f>(IF(AND(('Вводные'!$B$13&gt;0),(4&lt;='Вводные'!$B$13)),('Вводные'!$B$12/MAX(1,'Вводные'!$B$13)),0)+0)</f>
        <v>0</v>
      </c>
      <c r="F22" s="11">
        <f>(IF(AND(('Вводные'!$B$13&gt;0),(5&lt;='Вводные'!$B$13)),('Вводные'!$B$12/MAX(1,'Вводные'!$B$13)),0)+0)</f>
        <v>0</v>
      </c>
      <c r="G22" s="11">
        <f>(IF(AND(('Вводные'!$B$13&gt;0),(6&lt;='Вводные'!$B$13)),('Вводные'!$B$12/MAX(1,'Вводные'!$B$13)),0)+0)</f>
        <v>0</v>
      </c>
      <c r="H22" s="11">
        <f>(IF(AND(('Вводные'!$B$13&gt;0),(7&lt;='Вводные'!$B$13)),('Вводные'!$B$12/MAX(1,'Вводные'!$B$13)),0)+0)</f>
        <v>0</v>
      </c>
      <c r="I22" s="11">
        <f>(IF(AND(('Вводные'!$B$13&gt;0),(8&lt;='Вводные'!$B$13)),('Вводные'!$B$12/MAX(1,'Вводные'!$B$13)),0)+0)</f>
        <v>0</v>
      </c>
      <c r="J22" s="11">
        <f>(IF(AND(('Вводные'!$B$13&gt;0),(9&lt;='Вводные'!$B$13)),('Вводные'!$B$12/MAX(1,'Вводные'!$B$13)),0)+0)</f>
        <v>0</v>
      </c>
      <c r="K22" s="11">
        <f>(IF(AND(('Вводные'!$B$13&gt;0),(10&lt;='Вводные'!$B$13)),('Вводные'!$B$12/MAX(1,'Вводные'!$B$13)),0)+0)</f>
        <v>0</v>
      </c>
      <c r="L22" s="11">
        <f>(IF(AND(('Вводные'!$B$13&gt;0),(11&lt;='Вводные'!$B$13)),('Вводные'!$B$12/MAX(1,'Вводные'!$B$13)),0)+0)</f>
        <v>0</v>
      </c>
      <c r="M22" s="11">
        <f>(IF(AND(('Вводные'!$B$13&gt;0),(12&lt;='Вводные'!$B$13)),('Вводные'!$B$12/MAX(1,'Вводные'!$B$13)),0)+0)</f>
        <v>0</v>
      </c>
      <c r="N22" s="11">
        <f>SUM(B22:M22)</f>
        <v>0</v>
      </c>
      <c r="O22" s="17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23" ht="25" customHeight="1">
      <c r="A23" s="16" t="inlineStr">
        <is>
          <t xml:space="preserve">Операционная прибыль (EBIT)</t>
        </is>
      </c>
      <c r="B23" s="11">
        <f>(B20-B22)</f>
        <v>0</v>
      </c>
      <c r="C23" s="11">
        <f>(C20-C22)</f>
        <v>0</v>
      </c>
      <c r="D23" s="11">
        <f>(D20-D22)</f>
        <v>0</v>
      </c>
      <c r="E23" s="11">
        <f>(E20-E22)</f>
        <v>0</v>
      </c>
      <c r="F23" s="11">
        <f>(F20-F22)</f>
        <v>0</v>
      </c>
      <c r="G23" s="11">
        <f>(G20-G22)</f>
        <v>0</v>
      </c>
      <c r="H23" s="11">
        <f>(H20-H22)</f>
        <v>0</v>
      </c>
      <c r="I23" s="11">
        <f>(I20-I22)</f>
        <v>0</v>
      </c>
      <c r="J23" s="11">
        <f>(J20-J22)</f>
        <v>0</v>
      </c>
      <c r="K23" s="11">
        <f>(K20-K22)</f>
        <v>0</v>
      </c>
      <c r="L23" s="11">
        <f>(L20-L22)</f>
        <v>0</v>
      </c>
      <c r="M23" s="11">
        <f>(M20-M22)</f>
        <v>110</v>
      </c>
      <c r="N23" s="11">
        <f>SUM(B23:M23)</f>
        <v>110</v>
      </c>
      <c r="O23" s="17" t="inlineStr">
        <is>
          <t xml:space="preserve">Результат</t>
        </is>
      </c>
    </row>
    <row r="24" ht="25" customHeight="1">
      <c r="A24" s="16" t="inlineStr">
        <is>
          <t xml:space="preserve">Кредит на начало месяца</t>
        </is>
      </c>
      <c r="B24" s="11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0</v>
      </c>
      <c r="C24" s="11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0</v>
      </c>
      <c r="D24" s="11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0</v>
      </c>
      <c r="E24" s="11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0</v>
      </c>
      <c r="F24" s="11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0</v>
      </c>
      <c r="G24" s="11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0</v>
      </c>
      <c r="H24" s="11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0</v>
      </c>
      <c r="I24" s="11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0</v>
      </c>
      <c r="J24" s="11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0</v>
      </c>
      <c r="K24" s="11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0</v>
      </c>
      <c r="L24" s="11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0</v>
      </c>
      <c r="M24" s="11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0</v>
      </c>
      <c r="N24" s="11">
        <f>M24</f>
        <v>0</v>
      </c>
      <c r="O24" s="17" t="inlineStr">
        <is>
          <t xml:space="preserve">Кредит</t>
        </is>
      </c>
    </row>
    <row r="25" ht="25" customHeight="1">
      <c r="A25" s="16" t="inlineStr">
        <is>
          <t xml:space="preserve">Проценты по кредиту</t>
        </is>
      </c>
      <c r="B25" s="11">
        <f>(B24*(('Вводные'!$B$15/100)/12))</f>
        <v>0</v>
      </c>
      <c r="C25" s="11">
        <f>(C24*(('Вводные'!$B$15/100)/12))</f>
        <v>0</v>
      </c>
      <c r="D25" s="11">
        <f>(D24*(('Вводные'!$B$15/100)/12))</f>
        <v>0</v>
      </c>
      <c r="E25" s="11">
        <f>(E24*(('Вводные'!$B$15/100)/12))</f>
        <v>0</v>
      </c>
      <c r="F25" s="11">
        <f>(F24*(('Вводные'!$B$15/100)/12))</f>
        <v>0</v>
      </c>
      <c r="G25" s="11">
        <f>(G24*(('Вводные'!$B$15/100)/12))</f>
        <v>0</v>
      </c>
      <c r="H25" s="11">
        <f>(H24*(('Вводные'!$B$15/100)/12))</f>
        <v>0</v>
      </c>
      <c r="I25" s="11">
        <f>(I24*(('Вводные'!$B$15/100)/12))</f>
        <v>0</v>
      </c>
      <c r="J25" s="11">
        <f>(J24*(('Вводные'!$B$15/100)/12))</f>
        <v>0</v>
      </c>
      <c r="K25" s="11">
        <f>(K24*(('Вводные'!$B$15/100)/12))</f>
        <v>0</v>
      </c>
      <c r="L25" s="11">
        <f>(L24*(('Вводные'!$B$15/100)/12))</f>
        <v>0</v>
      </c>
      <c r="M25" s="11">
        <f>(M24*(('Вводные'!$B$15/100)/12))</f>
        <v>0</v>
      </c>
      <c r="N25" s="11">
        <f>SUM(B25:M25)</f>
        <v>0</v>
      </c>
      <c r="O25" s="17" t="inlineStr">
        <is>
          <t xml:space="preserve">Результат</t>
        </is>
      </c>
    </row>
    <row r="26" ht="55" customHeight="1">
      <c r="A26" s="16" t="inlineStr">
        <is>
          <t xml:space="preserve">Погашение тела кредита</t>
        </is>
      </c>
      <c r="B26" s="11">
        <f>IF((1&lt;='Вводные'!$B$16),MIN(B24,MAX(0,(IF(((('Вводные'!$B$15/100)/12)&gt;0),(('Вводные'!$B$14*(('Вводные'!$B$15/100)/12))/(1-((1+(('Вводные'!$B$15/100)/12))^(-1*'Вводные'!$B$16)))),('Вводные'!$B$14/'Вводные'!$B$16))-B25))),0)</f>
        <v>0</v>
      </c>
      <c r="C26" s="11">
        <f>IF((2&lt;='Вводные'!$B$16),MIN(C24,MAX(0,(IF(((('Вводные'!$B$15/100)/12)&gt;0),(('Вводные'!$B$14*(('Вводные'!$B$15/100)/12))/(1-((1+(('Вводные'!$B$15/100)/12))^(-1*'Вводные'!$B$16)))),('Вводные'!$B$14/'Вводные'!$B$16))-C25))),0)</f>
        <v>0</v>
      </c>
      <c r="D26" s="11">
        <f>IF((3&lt;='Вводные'!$B$16),MIN(D24,MAX(0,(IF(((('Вводные'!$B$15/100)/12)&gt;0),(('Вводные'!$B$14*(('Вводные'!$B$15/100)/12))/(1-((1+(('Вводные'!$B$15/100)/12))^(-1*'Вводные'!$B$16)))),('Вводные'!$B$14/'Вводные'!$B$16))-D25))),0)</f>
        <v>0</v>
      </c>
      <c r="E26" s="11">
        <f>IF((4&lt;='Вводные'!$B$16),MIN(E24,MAX(0,(IF(((('Вводные'!$B$15/100)/12)&gt;0),(('Вводные'!$B$14*(('Вводные'!$B$15/100)/12))/(1-((1+(('Вводные'!$B$15/100)/12))^(-1*'Вводные'!$B$16)))),('Вводные'!$B$14/'Вводные'!$B$16))-E25))),0)</f>
        <v>0</v>
      </c>
      <c r="F26" s="11">
        <f>IF((5&lt;='Вводные'!$B$16),MIN(F24,MAX(0,(IF(((('Вводные'!$B$15/100)/12)&gt;0),(('Вводные'!$B$14*(('Вводные'!$B$15/100)/12))/(1-((1+(('Вводные'!$B$15/100)/12))^(-1*'Вводные'!$B$16)))),('Вводные'!$B$14/'Вводные'!$B$16))-F25))),0)</f>
        <v>0</v>
      </c>
      <c r="G26" s="11">
        <f>IF((6&lt;='Вводные'!$B$16),MIN(G24,MAX(0,(IF(((('Вводные'!$B$15/100)/12)&gt;0),(('Вводные'!$B$14*(('Вводные'!$B$15/100)/12))/(1-((1+(('Вводные'!$B$15/100)/12))^(-1*'Вводные'!$B$16)))),('Вводные'!$B$14/'Вводные'!$B$16))-G25))),0)</f>
        <v>0</v>
      </c>
      <c r="H26" s="11">
        <f>IF((7&lt;='Вводные'!$B$16),MIN(H24,MAX(0,(IF(((('Вводные'!$B$15/100)/12)&gt;0),(('Вводные'!$B$14*(('Вводные'!$B$15/100)/12))/(1-((1+(('Вводные'!$B$15/100)/12))^(-1*'Вводные'!$B$16)))),('Вводные'!$B$14/'Вводные'!$B$16))-H25))),0)</f>
        <v>0</v>
      </c>
      <c r="I26" s="11">
        <f>IF((8&lt;='Вводные'!$B$16),MIN(I24,MAX(0,(IF(((('Вводные'!$B$15/100)/12)&gt;0),(('Вводные'!$B$14*(('Вводные'!$B$15/100)/12))/(1-((1+(('Вводные'!$B$15/100)/12))^(-1*'Вводные'!$B$16)))),('Вводные'!$B$14/'Вводные'!$B$16))-I25))),0)</f>
        <v>0</v>
      </c>
      <c r="J26" s="11">
        <f>IF((9&lt;='Вводные'!$B$16),MIN(J24,MAX(0,(IF(((('Вводные'!$B$15/100)/12)&gt;0),(('Вводные'!$B$14*(('Вводные'!$B$15/100)/12))/(1-((1+(('Вводные'!$B$15/100)/12))^(-1*'Вводные'!$B$16)))),('Вводные'!$B$14/'Вводные'!$B$16))-J25))),0)</f>
        <v>0</v>
      </c>
      <c r="K26" s="11">
        <f>IF((10&lt;='Вводные'!$B$16),MIN(K24,MAX(0,(IF(((('Вводные'!$B$15/100)/12)&gt;0),(('Вводные'!$B$14*(('Вводные'!$B$15/100)/12))/(1-((1+(('Вводные'!$B$15/100)/12))^(-1*'Вводные'!$B$16)))),('Вводные'!$B$14/'Вводные'!$B$16))-K25))),0)</f>
        <v>0</v>
      </c>
      <c r="L26" s="11">
        <f>IF((11&lt;='Вводные'!$B$16),MIN(L24,MAX(0,(IF(((('Вводные'!$B$15/100)/12)&gt;0),(('Вводные'!$B$14*(('Вводные'!$B$15/100)/12))/(1-((1+(('Вводные'!$B$15/100)/12))^(-1*'Вводные'!$B$16)))),('Вводные'!$B$14/'Вводные'!$B$16))-L25))),0)</f>
        <v>0</v>
      </c>
      <c r="M26" s="11">
        <f>IF((12&lt;='Вводные'!$B$16),MIN(M24,MAX(0,(IF(((('Вводные'!$B$15/100)/12)&gt;0),(('Вводные'!$B$14*(('Вводные'!$B$15/100)/12))/(1-((1+(('Вводные'!$B$15/100)/12))^(-1*'Вводные'!$B$16)))),('Вводные'!$B$14/'Вводные'!$B$16))-M25))),0)</f>
        <v>0</v>
      </c>
      <c r="N26" s="11">
        <f>SUM(B26:M26)</f>
        <v>0</v>
      </c>
      <c r="O26" s="17" t="inlineStr">
        <is>
          <t xml:space="preserve">Аннуитетный платёж − проценты. Тело кредита уменьшает деньги, но не прибыль.</t>
        </is>
      </c>
    </row>
    <row r="27" ht="25" customHeight="1">
      <c r="A27" s="16" t="inlineStr">
        <is>
          <t xml:space="preserve">Кредит на конец месяца</t>
        </is>
      </c>
      <c r="B27" s="11">
        <f>MAX(0,(B24-B26))</f>
        <v>0</v>
      </c>
      <c r="C27" s="11">
        <f>MAX(0,(C24-C26))</f>
        <v>0</v>
      </c>
      <c r="D27" s="11">
        <f>MAX(0,(D24-D26))</f>
        <v>0</v>
      </c>
      <c r="E27" s="11">
        <f>MAX(0,(E24-E26))</f>
        <v>0</v>
      </c>
      <c r="F27" s="11">
        <f>MAX(0,(F24-F26))</f>
        <v>0</v>
      </c>
      <c r="G27" s="11">
        <f>MAX(0,(G24-G26))</f>
        <v>0</v>
      </c>
      <c r="H27" s="11">
        <f>MAX(0,(H24-H26))</f>
        <v>0</v>
      </c>
      <c r="I27" s="11">
        <f>MAX(0,(I24-I26))</f>
        <v>0</v>
      </c>
      <c r="J27" s="11">
        <f>MAX(0,(J24-J26))</f>
        <v>0</v>
      </c>
      <c r="K27" s="11">
        <f>MAX(0,(K24-K26))</f>
        <v>0</v>
      </c>
      <c r="L27" s="11">
        <f>MAX(0,(L24-L26))</f>
        <v>0</v>
      </c>
      <c r="M27" s="11">
        <f>MAX(0,(M24-M26))</f>
        <v>0</v>
      </c>
      <c r="N27" s="11">
        <f>M27</f>
        <v>0</v>
      </c>
      <c r="O27" s="17" t="inlineStr">
        <is>
          <t xml:space="preserve">Кредит</t>
        </is>
      </c>
    </row>
    <row r="28" ht="25" customHeight="1">
      <c r="A28" s="16" t="inlineStr">
        <is>
          <t xml:space="preserve">Прибыль до налога</t>
        </is>
      </c>
      <c r="B28" s="11">
        <f>(B23-B25)</f>
        <v>0</v>
      </c>
      <c r="C28" s="11">
        <f>(C23-C25)</f>
        <v>0</v>
      </c>
      <c r="D28" s="11">
        <f>(D23-D25)</f>
        <v>0</v>
      </c>
      <c r="E28" s="11">
        <f>(E23-E25)</f>
        <v>0</v>
      </c>
      <c r="F28" s="11">
        <f>(F23-F25)</f>
        <v>0</v>
      </c>
      <c r="G28" s="11">
        <f>(G23-G25)</f>
        <v>0</v>
      </c>
      <c r="H28" s="11">
        <f>(H23-H25)</f>
        <v>0</v>
      </c>
      <c r="I28" s="11">
        <f>(I23-I25)</f>
        <v>0</v>
      </c>
      <c r="J28" s="11">
        <f>(J23-J25)</f>
        <v>0</v>
      </c>
      <c r="K28" s="11">
        <f>(K23-K25)</f>
        <v>0</v>
      </c>
      <c r="L28" s="11">
        <f>(L23-L25)</f>
        <v>0</v>
      </c>
      <c r="M28" s="11">
        <f>(M23-M25)</f>
        <v>110</v>
      </c>
      <c r="N28" s="11">
        <f>SUM(B28:M28)</f>
        <v>110</v>
      </c>
      <c r="O28" s="17" t="inlineStr">
        <is>
          <t xml:space="preserve">Результат</t>
        </is>
      </c>
    </row>
    <row r="29" ht="55" customHeight="1">
      <c r="A29" s="16" t="inlineStr">
        <is>
          <t xml:space="preserve">Условный налог</t>
        </is>
      </c>
      <c r="B29" s="11">
        <f>IF(('Вводные'!$B$6="none"),0,(IF(('Вводные'!$B$6="revenue"),B8,MAX(0,B28))*('Вводные'!$B$7/100)))</f>
        <v>0</v>
      </c>
      <c r="C29" s="11">
        <f>IF(('Вводные'!$B$6="none"),0,(IF(('Вводные'!$B$6="revenue"),C8,MAX(0,C28))*('Вводные'!$B$7/100)))</f>
        <v>0</v>
      </c>
      <c r="D29" s="11">
        <f>IF(('Вводные'!$B$6="none"),0,(IF(('Вводные'!$B$6="revenue"),D8,MAX(0,D28))*('Вводные'!$B$7/100)))</f>
        <v>0</v>
      </c>
      <c r="E29" s="11">
        <f>IF(('Вводные'!$B$6="none"),0,(IF(('Вводные'!$B$6="revenue"),E8,MAX(0,E28))*('Вводные'!$B$7/100)))</f>
        <v>0</v>
      </c>
      <c r="F29" s="11">
        <f>IF(('Вводные'!$B$6="none"),0,(IF(('Вводные'!$B$6="revenue"),F8,MAX(0,F28))*('Вводные'!$B$7/100)))</f>
        <v>0</v>
      </c>
      <c r="G29" s="11">
        <f>IF(('Вводные'!$B$6="none"),0,(IF(('Вводные'!$B$6="revenue"),G8,MAX(0,G28))*('Вводные'!$B$7/100)))</f>
        <v>0</v>
      </c>
      <c r="H29" s="11">
        <f>IF(('Вводные'!$B$6="none"),0,(IF(('Вводные'!$B$6="revenue"),H8,MAX(0,H28))*('Вводные'!$B$7/100)))</f>
        <v>0</v>
      </c>
      <c r="I29" s="11">
        <f>IF(('Вводные'!$B$6="none"),0,(IF(('Вводные'!$B$6="revenue"),I8,MAX(0,I28))*('Вводные'!$B$7/100)))</f>
        <v>0</v>
      </c>
      <c r="J29" s="11">
        <f>IF(('Вводные'!$B$6="none"),0,(IF(('Вводные'!$B$6="revenue"),J8,MAX(0,J28))*('Вводные'!$B$7/100)))</f>
        <v>0</v>
      </c>
      <c r="K29" s="11">
        <f>IF(('Вводные'!$B$6="none"),0,(IF(('Вводные'!$B$6="revenue"),K8,MAX(0,K28))*('Вводные'!$B$7/100)))</f>
        <v>0</v>
      </c>
      <c r="L29" s="11">
        <f>IF(('Вводные'!$B$6="none"),0,(IF(('Вводные'!$B$6="revenue"),L8,MAX(0,L28))*('Вводные'!$B$7/100)))</f>
        <v>0</v>
      </c>
      <c r="M29" s="11">
        <f>IF(('Вводные'!$B$6="none"),0,(IF(('Вводные'!$B$6="revenue"),M8,MAX(0,M28))*('Вводные'!$B$7/100)))</f>
        <v>0</v>
      </c>
      <c r="N29" s="11">
        <f>SUM(B29:M29)</f>
        <v>0</v>
      </c>
      <c r="O29" s="17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30" ht="55" customHeight="1">
      <c r="A30" s="13" t="inlineStr">
        <is>
          <t xml:space="preserve">Чистая прибыль</t>
        </is>
      </c>
      <c r="B30" s="14">
        <f>(B28-B29)</f>
        <v>0</v>
      </c>
      <c r="C30" s="14">
        <f>(C28-C29)</f>
        <v>0</v>
      </c>
      <c r="D30" s="14">
        <f>(D28-D29)</f>
        <v>0</v>
      </c>
      <c r="E30" s="14">
        <f>(E28-E29)</f>
        <v>0</v>
      </c>
      <c r="F30" s="14">
        <f>(F28-F29)</f>
        <v>0</v>
      </c>
      <c r="G30" s="14">
        <f>(G28-G29)</f>
        <v>0</v>
      </c>
      <c r="H30" s="14">
        <f>(H28-H29)</f>
        <v>0</v>
      </c>
      <c r="I30" s="14">
        <f>(I28-I29)</f>
        <v>0</v>
      </c>
      <c r="J30" s="14">
        <f>(J28-J29)</f>
        <v>0</v>
      </c>
      <c r="K30" s="14">
        <f>(K28-K29)</f>
        <v>0</v>
      </c>
      <c r="L30" s="14">
        <f>(L28-L29)</f>
        <v>0</v>
      </c>
      <c r="M30" s="14">
        <f>(M28-M29)</f>
        <v>110</v>
      </c>
      <c r="N30" s="14">
        <f>SUM(B30:M30)</f>
        <v>110</v>
      </c>
      <c r="O30" s="15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31" ht="25" customHeight="1">
      <c r="A31" s="16" t="inlineStr">
        <is>
          <t xml:space="preserve">Все расходы в прибыли</t>
        </is>
      </c>
      <c r="B31" s="11">
        <f>(B8-B30)</f>
        <v>0</v>
      </c>
      <c r="C31" s="11">
        <f>(C8-C30)</f>
        <v>0</v>
      </c>
      <c r="D31" s="11">
        <f>(D8-D30)</f>
        <v>0</v>
      </c>
      <c r="E31" s="11">
        <f>(E8-E30)</f>
        <v>0</v>
      </c>
      <c r="F31" s="11">
        <f>(F8-F30)</f>
        <v>0</v>
      </c>
      <c r="G31" s="11">
        <f>(G8-G30)</f>
        <v>0</v>
      </c>
      <c r="H31" s="11">
        <f>(H8-H30)</f>
        <v>0</v>
      </c>
      <c r="I31" s="11">
        <f>(I8-I30)</f>
        <v>0</v>
      </c>
      <c r="J31" s="11">
        <f>(J8-J30)</f>
        <v>0</v>
      </c>
      <c r="K31" s="11">
        <f>(K8-K30)</f>
        <v>0</v>
      </c>
      <c r="L31" s="11">
        <f>(L8-L30)</f>
        <v>0</v>
      </c>
      <c r="M31" s="11">
        <f>(M8-M30)</f>
        <v>0</v>
      </c>
      <c r="N31" s="11">
        <f>SUM(B31:M31)</f>
        <v>0</v>
      </c>
      <c r="O31" s="17" t="inlineStr">
        <is>
          <t xml:space="preserve">Результат</t>
        </is>
      </c>
    </row>
    <row r="32" ht="25" customHeight="1">
      <c r="A32" s="16" t="inlineStr">
        <is>
          <t xml:space="preserve">Оплата от клиентов</t>
        </is>
      </c>
      <c r="B32" s="11">
        <f>IF(1-'Вводные'!$B$8&gt;0,INDEX($B$8:$M$8,1,MAX(1,1-'Вводные'!$B$8)),0)</f>
        <v>0</v>
      </c>
      <c r="C32" s="11">
        <f>IF(2-'Вводные'!$B$8&gt;0,INDEX($B$8:$M$8,1,MAX(1,2-'Вводные'!$B$8)),0)</f>
        <v>0</v>
      </c>
      <c r="D32" s="11">
        <f>IF(3-'Вводные'!$B$8&gt;0,INDEX($B$8:$M$8,1,MAX(1,3-'Вводные'!$B$8)),0)</f>
        <v>0</v>
      </c>
      <c r="E32" s="11">
        <f>IF(4-'Вводные'!$B$8&gt;0,INDEX($B$8:$M$8,1,MAX(1,4-'Вводные'!$B$8)),0)</f>
        <v>0</v>
      </c>
      <c r="F32" s="11">
        <f>IF(5-'Вводные'!$B$8&gt;0,INDEX($B$8:$M$8,1,MAX(1,5-'Вводные'!$B$8)),0)</f>
        <v>0</v>
      </c>
      <c r="G32" s="11">
        <f>IF(6-'Вводные'!$B$8&gt;0,INDEX($B$8:$M$8,1,MAX(1,6-'Вводные'!$B$8)),0)</f>
        <v>0</v>
      </c>
      <c r="H32" s="11">
        <f>IF(7-'Вводные'!$B$8&gt;0,INDEX($B$8:$M$8,1,MAX(1,7-'Вводные'!$B$8)),0)</f>
        <v>0</v>
      </c>
      <c r="I32" s="11">
        <f>IF(8-'Вводные'!$B$8&gt;0,INDEX($B$8:$M$8,1,MAX(1,8-'Вводные'!$B$8)),0)</f>
        <v>0</v>
      </c>
      <c r="J32" s="11">
        <f>IF(9-'Вводные'!$B$8&gt;0,INDEX($B$8:$M$8,1,MAX(1,9-'Вводные'!$B$8)),0)</f>
        <v>0</v>
      </c>
      <c r="K32" s="11">
        <f>IF(10-'Вводные'!$B$8&gt;0,INDEX($B$8:$M$8,1,MAX(1,10-'Вводные'!$B$8)),0)</f>
        <v>0</v>
      </c>
      <c r="L32" s="11">
        <f>IF(11-'Вводные'!$B$8&gt;0,INDEX($B$8:$M$8,1,MAX(1,11-'Вводные'!$B$8)),0)</f>
        <v>0</v>
      </c>
      <c r="M32" s="11">
        <f>IF(12-'Вводные'!$B$8&gt;0,INDEX($B$8:$M$8,1,MAX(1,12-'Вводные'!$B$8)),0)</f>
        <v>110</v>
      </c>
      <c r="N32" s="11">
        <f>SUM(B32:M32)</f>
        <v>110</v>
      </c>
      <c r="O32" s="17" t="inlineStr">
        <is>
          <t xml:space="preserve">Денежный поток</t>
        </is>
      </c>
    </row>
    <row r="33" ht="25" customHeight="1">
      <c r="A33" s="16" t="inlineStr">
        <is>
          <t xml:space="preserve">Оплата себестоимости</t>
        </is>
      </c>
      <c r="B33" s="11">
        <f>IF(1-'Вводные'!$B$9&gt;0,INDEX($B$9:$M$9,1,MAX(1,1-'Вводные'!$B$9)),0)</f>
        <v>0</v>
      </c>
      <c r="C33" s="11">
        <f>IF(2-'Вводные'!$B$9&gt;0,INDEX($B$9:$M$9,1,MAX(1,2-'Вводные'!$B$9)),0)</f>
        <v>0</v>
      </c>
      <c r="D33" s="11">
        <f>IF(3-'Вводные'!$B$9&gt;0,INDEX($B$9:$M$9,1,MAX(1,3-'Вводные'!$B$9)),0)</f>
        <v>0</v>
      </c>
      <c r="E33" s="11">
        <f>IF(4-'Вводные'!$B$9&gt;0,INDEX($B$9:$M$9,1,MAX(1,4-'Вводные'!$B$9)),0)</f>
        <v>0</v>
      </c>
      <c r="F33" s="11">
        <f>IF(5-'Вводные'!$B$9&gt;0,INDEX($B$9:$M$9,1,MAX(1,5-'Вводные'!$B$9)),0)</f>
        <v>0</v>
      </c>
      <c r="G33" s="11">
        <f>IF(6-'Вводные'!$B$9&gt;0,INDEX($B$9:$M$9,1,MAX(1,6-'Вводные'!$B$9)),0)</f>
        <v>0</v>
      </c>
      <c r="H33" s="11">
        <f>IF(7-'Вводные'!$B$9&gt;0,INDEX($B$9:$M$9,1,MAX(1,7-'Вводные'!$B$9)),0)</f>
        <v>0</v>
      </c>
      <c r="I33" s="11">
        <f>IF(8-'Вводные'!$B$9&gt;0,INDEX($B$9:$M$9,1,MAX(1,8-'Вводные'!$B$9)),0)</f>
        <v>0</v>
      </c>
      <c r="J33" s="11">
        <f>IF(9-'Вводные'!$B$9&gt;0,INDEX($B$9:$M$9,1,MAX(1,9-'Вводные'!$B$9)),0)</f>
        <v>0</v>
      </c>
      <c r="K33" s="11">
        <f>IF(10-'Вводные'!$B$9&gt;0,INDEX($B$9:$M$9,1,MAX(1,10-'Вводные'!$B$9)),0)</f>
        <v>0</v>
      </c>
      <c r="L33" s="11">
        <f>IF(11-'Вводные'!$B$9&gt;0,INDEX($B$9:$M$9,1,MAX(1,11-'Вводные'!$B$9)),0)</f>
        <v>0</v>
      </c>
      <c r="M33" s="11">
        <f>IF(12-'Вводные'!$B$9&gt;0,INDEX($B$9:$M$9,1,MAX(1,12-'Вводные'!$B$9)),0)</f>
        <v>0</v>
      </c>
      <c r="N33" s="11">
        <f>SUM(B33:M33)</f>
        <v>0</v>
      </c>
      <c r="O33" s="17" t="inlineStr">
        <is>
          <t xml:space="preserve">Денежный поток</t>
        </is>
      </c>
    </row>
    <row r="34" ht="25" customHeight="1">
      <c r="A34" s="16" t="inlineStr">
        <is>
          <t xml:space="preserve">Дебиторская задолженность</t>
        </is>
      </c>
      <c r="B34" s="11">
        <f>(0+(B8-B32))</f>
        <v>0</v>
      </c>
      <c r="C34" s="11">
        <f>(B34+(C8-C32))</f>
        <v>0</v>
      </c>
      <c r="D34" s="11">
        <f>(C34+(D8-D32))</f>
        <v>0</v>
      </c>
      <c r="E34" s="11">
        <f>(D34+(E8-E32))</f>
        <v>0</v>
      </c>
      <c r="F34" s="11">
        <f>(E34+(F8-F32))</f>
        <v>0</v>
      </c>
      <c r="G34" s="11">
        <f>(F34+(G8-G32))</f>
        <v>0</v>
      </c>
      <c r="H34" s="11">
        <f>(G34+(H8-H32))</f>
        <v>0</v>
      </c>
      <c r="I34" s="11">
        <f>(H34+(I8-I32))</f>
        <v>0</v>
      </c>
      <c r="J34" s="11">
        <f>(I34+(J8-J32))</f>
        <v>0</v>
      </c>
      <c r="K34" s="11">
        <f>(J34+(K8-K32))</f>
        <v>0</v>
      </c>
      <c r="L34" s="11">
        <f>(K34+(L8-L32))</f>
        <v>0</v>
      </c>
      <c r="M34" s="11">
        <f>(L34+(M8-M32))</f>
        <v>0</v>
      </c>
      <c r="N34" s="11">
        <f>M34</f>
        <v>0</v>
      </c>
      <c r="O34" s="17" t="inlineStr">
        <is>
          <t xml:space="preserve">Оборотный капитал</t>
        </is>
      </c>
    </row>
    <row r="35" ht="25" customHeight="1">
      <c r="A35" s="16" t="inlineStr">
        <is>
          <t xml:space="preserve">Кредиторская задолженность</t>
        </is>
      </c>
      <c r="B35" s="11">
        <f>(0+(B9-B33))</f>
        <v>0</v>
      </c>
      <c r="C35" s="11">
        <f>(B35+(C9-C33))</f>
        <v>0</v>
      </c>
      <c r="D35" s="11">
        <f>(C35+(D9-D33))</f>
        <v>0</v>
      </c>
      <c r="E35" s="11">
        <f>(D35+(E9-E33))</f>
        <v>0</v>
      </c>
      <c r="F35" s="11">
        <f>(E35+(F9-F33))</f>
        <v>0</v>
      </c>
      <c r="G35" s="11">
        <f>(F35+(G9-G33))</f>
        <v>0</v>
      </c>
      <c r="H35" s="11">
        <f>(G35+(H9-H33))</f>
        <v>0</v>
      </c>
      <c r="I35" s="11">
        <f>(H35+(I9-I33))</f>
        <v>0</v>
      </c>
      <c r="J35" s="11">
        <f>(I35+(J9-J33))</f>
        <v>0</v>
      </c>
      <c r="K35" s="11">
        <f>(J35+(K9-K33))</f>
        <v>0</v>
      </c>
      <c r="L35" s="11">
        <f>(K35+(L9-L33))</f>
        <v>0</v>
      </c>
      <c r="M35" s="11">
        <f>(L35+(M9-M33))</f>
        <v>0</v>
      </c>
      <c r="N35" s="11">
        <f>M35</f>
        <v>0</v>
      </c>
      <c r="O35" s="17" t="inlineStr">
        <is>
          <t xml:space="preserve">Оборотный капитал</t>
        </is>
      </c>
    </row>
    <row r="36" ht="55" customHeight="1">
      <c r="A36" s="16" t="inlineStr">
        <is>
          <t xml:space="preserve">Операционный денежный поток</t>
        </is>
      </c>
      <c r="B36" s="11">
        <f>((B32-B33)-((B19+B25)+B29))</f>
        <v>0</v>
      </c>
      <c r="C36" s="11">
        <f>((C32-C33)-((C19+C25)+C29))</f>
        <v>0</v>
      </c>
      <c r="D36" s="11">
        <f>((D32-D33)-((D19+D25)+D29))</f>
        <v>0</v>
      </c>
      <c r="E36" s="11">
        <f>((E32-E33)-((E19+E25)+E29))</f>
        <v>0</v>
      </c>
      <c r="F36" s="11">
        <f>((F32-F33)-((F19+F25)+F29))</f>
        <v>0</v>
      </c>
      <c r="G36" s="11">
        <f>((G32-G33)-((G19+G25)+G29))</f>
        <v>0</v>
      </c>
      <c r="H36" s="11">
        <f>((H32-H33)-((H19+H25)+H29))</f>
        <v>0</v>
      </c>
      <c r="I36" s="11">
        <f>((I32-I33)-((I19+I25)+I29))</f>
        <v>0</v>
      </c>
      <c r="J36" s="11">
        <f>((J32-J33)-((J19+J25)+J29))</f>
        <v>0</v>
      </c>
      <c r="K36" s="11">
        <f>((K32-K33)-((K19+K25)+K29))</f>
        <v>0</v>
      </c>
      <c r="L36" s="11">
        <f>((L32-L33)-((L19+L25)+L29))</f>
        <v>0</v>
      </c>
      <c r="M36" s="11">
        <f>((M32-M33)-((M19+M25)+M29))</f>
        <v>110</v>
      </c>
      <c r="N36" s="11">
        <f>SUM(B36:M36)</f>
        <v>110</v>
      </c>
      <c r="O36" s="17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37" ht="55" customHeight="1">
      <c r="A37" s="16" t="inlineStr">
        <is>
          <t xml:space="preserve">Изменение денег за месяц</t>
        </is>
      </c>
      <c r="B37" s="11">
        <f>((B36-B21)-B26)</f>
        <v>0</v>
      </c>
      <c r="C37" s="11">
        <f>((C36-C21)-C26)</f>
        <v>0</v>
      </c>
      <c r="D37" s="11">
        <f>((D36-D21)-D26)</f>
        <v>0</v>
      </c>
      <c r="E37" s="11">
        <f>((E36-E21)-E26)</f>
        <v>0</v>
      </c>
      <c r="F37" s="11">
        <f>((F36-F21)-F26)</f>
        <v>0</v>
      </c>
      <c r="G37" s="11">
        <f>((G36-G21)-G26)</f>
        <v>0</v>
      </c>
      <c r="H37" s="11">
        <f>((H36-H21)-H26)</f>
        <v>0</v>
      </c>
      <c r="I37" s="11">
        <f>((I36-I21)-I26)</f>
        <v>0</v>
      </c>
      <c r="J37" s="11">
        <f>((J36-J21)-J26)</f>
        <v>0</v>
      </c>
      <c r="K37" s="11">
        <f>((K36-K21)-K26)</f>
        <v>0</v>
      </c>
      <c r="L37" s="11">
        <f>((L36-L21)-L26)</f>
        <v>0</v>
      </c>
      <c r="M37" s="11">
        <f>((M36-M21)-M26)</f>
        <v>110</v>
      </c>
      <c r="N37" s="11">
        <f>SUM(B37:M37)</f>
        <v>110</v>
      </c>
      <c r="O37" s="17" t="inlineStr">
        <is>
          <t xml:space="preserve">Операционный поток − покупка активов − тело кредита.</t>
        </is>
      </c>
    </row>
    <row r="38" ht="55" customHeight="1">
      <c r="A38" s="13" t="inlineStr">
        <is>
          <t xml:space="preserve">Деньги на конец месяца</t>
        </is>
      </c>
      <c r="B38" s="14">
        <f>(((('Вводные'!$B$10+'Вводные'!$B$11)+'Вводные'!$B$14)-'Вводные'!$B$12)+B37)</f>
        <v>-100</v>
      </c>
      <c r="C38" s="14">
        <f>(B38+C37)</f>
        <v>-100</v>
      </c>
      <c r="D38" s="14">
        <f>(C38+D37)</f>
        <v>-100</v>
      </c>
      <c r="E38" s="14">
        <f>(D38+E37)</f>
        <v>-100</v>
      </c>
      <c r="F38" s="14">
        <f>(E38+F37)</f>
        <v>-100</v>
      </c>
      <c r="G38" s="14">
        <f>(F38+G37)</f>
        <v>-100</v>
      </c>
      <c r="H38" s="14">
        <f>(G38+H37)</f>
        <v>-100</v>
      </c>
      <c r="I38" s="14">
        <f>(H38+I37)</f>
        <v>-100</v>
      </c>
      <c r="J38" s="14">
        <f>(I38+J37)</f>
        <v>-100</v>
      </c>
      <c r="K38" s="14">
        <f>(J38+K37)</f>
        <v>-100</v>
      </c>
      <c r="L38" s="14">
        <f>(K38+L37)</f>
        <v>-100</v>
      </c>
      <c r="M38" s="14">
        <f>(L38+M37)</f>
        <v>10</v>
      </c>
      <c r="N38" s="14">
        <f>M38</f>
        <v>10</v>
      </c>
      <c r="O38" s="15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39" ht="55" customHeight="1">
      <c r="A39" s="16" t="inlineStr">
        <is>
          <t xml:space="preserve">Покрытие вложений, накопленно</t>
        </is>
      </c>
      <c r="B39" s="11">
        <f>((-1*'Вводные'!$B$12)+(B36-B21))</f>
        <v>-100</v>
      </c>
      <c r="C39" s="11">
        <f>(B39+(C36-C21))</f>
        <v>-100</v>
      </c>
      <c r="D39" s="11">
        <f>(C39+(D36-D21))</f>
        <v>-100</v>
      </c>
      <c r="E39" s="11">
        <f>(D39+(E36-E21))</f>
        <v>-100</v>
      </c>
      <c r="F39" s="11">
        <f>(E39+(F36-F21))</f>
        <v>-100</v>
      </c>
      <c r="G39" s="11">
        <f>(F39+(G36-G21))</f>
        <v>-100</v>
      </c>
      <c r="H39" s="11">
        <f>(G39+(H36-H21))</f>
        <v>-100</v>
      </c>
      <c r="I39" s="11">
        <f>(H39+(I36-I21))</f>
        <v>-100</v>
      </c>
      <c r="J39" s="11">
        <f>(I39+(J36-J21))</f>
        <v>-100</v>
      </c>
      <c r="K39" s="11">
        <f>(J39+(K36-K21))</f>
        <v>-100</v>
      </c>
      <c r="L39" s="11">
        <f>(K39+(L36-L21))</f>
        <v>-100</v>
      </c>
      <c r="M39" s="11">
        <f>(L39+(M36-M21))</f>
        <v>10</v>
      </c>
      <c r="N39" s="11">
        <f>M39</f>
        <v>10</v>
      </c>
      <c r="O39" s="17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40" ht="55" customHeight="1">
      <c r="A40" s="16" t="inlineStr">
        <is>
          <t xml:space="preserve">Свободный поток после покупок</t>
        </is>
      </c>
      <c r="B40" s="11">
        <f>(B36-B21)</f>
        <v>0</v>
      </c>
      <c r="C40" s="11">
        <f>(C36-C21)</f>
        <v>0</v>
      </c>
      <c r="D40" s="11">
        <f>(D36-D21)</f>
        <v>0</v>
      </c>
      <c r="E40" s="11">
        <f>(E36-E21)</f>
        <v>0</v>
      </c>
      <c r="F40" s="11">
        <f>(F36-F21)</f>
        <v>0</v>
      </c>
      <c r="G40" s="11">
        <f>(G36-G21)</f>
        <v>0</v>
      </c>
      <c r="H40" s="11">
        <f>(H36-H21)</f>
        <v>0</v>
      </c>
      <c r="I40" s="11">
        <f>(I36-I21)</f>
        <v>0</v>
      </c>
      <c r="J40" s="11">
        <f>(J36-J21)</f>
        <v>0</v>
      </c>
      <c r="K40" s="11">
        <f>(K36-K21)</f>
        <v>0</v>
      </c>
      <c r="L40" s="11">
        <f>(L36-L21)</f>
        <v>0</v>
      </c>
      <c r="M40" s="11">
        <f>(M36-M21)</f>
        <v>110</v>
      </c>
      <c r="N40" s="11">
        <f>SUM(B40:M40)</f>
        <v>110</v>
      </c>
      <c r="O40" s="17" t="inlineStr">
        <is>
          <t xml:space="preserve">Операционный поток − покупка активов, до погашения тела кредита.</t>
        </is>
      </c>
    </row>
    <row r="41" ht="55" customHeight="1">
      <c r="A41" s="16" t="inlineStr">
        <is>
          <t xml:space="preserve">Полный платёж по кредиту</t>
        </is>
      </c>
      <c r="B41" s="11">
        <f>(B25+B26)</f>
        <v>0</v>
      </c>
      <c r="C41" s="11">
        <f>(C25+C26)</f>
        <v>0</v>
      </c>
      <c r="D41" s="11">
        <f>(D25+D26)</f>
        <v>0</v>
      </c>
      <c r="E41" s="11">
        <f>(E25+E26)</f>
        <v>0</v>
      </c>
      <c r="F41" s="11">
        <f>(F25+F26)</f>
        <v>0</v>
      </c>
      <c r="G41" s="11">
        <f>(G25+G26)</f>
        <v>0</v>
      </c>
      <c r="H41" s="11">
        <f>(H25+H26)</f>
        <v>0</v>
      </c>
      <c r="I41" s="11">
        <f>(I25+I26)</f>
        <v>0</v>
      </c>
      <c r="J41" s="11">
        <f>(J25+J26)</f>
        <v>0</v>
      </c>
      <c r="K41" s="11">
        <f>(K25+K26)</f>
        <v>0</v>
      </c>
      <c r="L41" s="11">
        <f>(L25+L26)</f>
        <v>0</v>
      </c>
      <c r="M41" s="11">
        <f>(M25+M26)</f>
        <v>0</v>
      </c>
      <c r="N41" s="11">
        <f>SUM(B41:M41)</f>
        <v>0</v>
      </c>
      <c r="O41" s="17" t="inlineStr">
        <is>
          <t xml:space="preserve">Проценты + погашение тела. Это расшифровка, не дополнительное списание.</t>
        </is>
      </c>
    </row>
    <row r="42" ht="55" customHeight="1">
      <c r="A42" s="16" t="inlineStr">
        <is>
          <t xml:space="preserve">Инвестиции накопленно</t>
        </is>
      </c>
      <c r="B42" s="11">
        <f>('Вводные'!$B$12+B21)</f>
        <v>100</v>
      </c>
      <c r="C42" s="11">
        <f>(B42+C21)</f>
        <v>100</v>
      </c>
      <c r="D42" s="11">
        <f>(C42+D21)</f>
        <v>100</v>
      </c>
      <c r="E42" s="11">
        <f>(D42+E21)</f>
        <v>100</v>
      </c>
      <c r="F42" s="11">
        <f>(E42+F21)</f>
        <v>100</v>
      </c>
      <c r="G42" s="11">
        <f>(F42+G21)</f>
        <v>100</v>
      </c>
      <c r="H42" s="11">
        <f>(G42+H21)</f>
        <v>100</v>
      </c>
      <c r="I42" s="11">
        <f>(H42+I21)</f>
        <v>100</v>
      </c>
      <c r="J42" s="11">
        <f>(I42+J21)</f>
        <v>100</v>
      </c>
      <c r="K42" s="11">
        <f>(J42+K21)</f>
        <v>100</v>
      </c>
      <c r="L42" s="11">
        <f>(K42+L21)</f>
        <v>100</v>
      </c>
      <c r="M42" s="11">
        <f>(L42+M21)</f>
        <v>100</v>
      </c>
      <c r="N42" s="11">
        <f>M42</f>
        <v>100</v>
      </c>
      <c r="O42" s="17" t="inlineStr">
        <is>
          <t xml:space="preserve">Вложения до М1 + покупки активов к выбранному месяцу.</t>
        </is>
      </c>
    </row>
    <row r="43" ht="55" customHeight="1">
      <c r="A43" s="16" t="inlineStr">
        <is>
          <t xml:space="preserve">Операционный поток накопленно</t>
        </is>
      </c>
      <c r="B43" s="11">
        <f>(0+B36)</f>
        <v>0</v>
      </c>
      <c r="C43" s="11">
        <f>(B43+C36)</f>
        <v>0</v>
      </c>
      <c r="D43" s="11">
        <f>(C43+D36)</f>
        <v>0</v>
      </c>
      <c r="E43" s="11">
        <f>(D43+E36)</f>
        <v>0</v>
      </c>
      <c r="F43" s="11">
        <f>(E43+F36)</f>
        <v>0</v>
      </c>
      <c r="G43" s="11">
        <f>(F43+G36)</f>
        <v>0</v>
      </c>
      <c r="H43" s="11">
        <f>(G43+H36)</f>
        <v>0</v>
      </c>
      <c r="I43" s="11">
        <f>(H43+I36)</f>
        <v>0</v>
      </c>
      <c r="J43" s="11">
        <f>(I43+J36)</f>
        <v>0</v>
      </c>
      <c r="K43" s="11">
        <f>(J43+K36)</f>
        <v>0</v>
      </c>
      <c r="L43" s="11">
        <f>(K43+L36)</f>
        <v>0</v>
      </c>
      <c r="M43" s="11">
        <f>(L43+M36)</f>
        <v>110</v>
      </c>
      <c r="N43" s="11">
        <f>M43</f>
        <v>110</v>
      </c>
      <c r="O43" s="17" t="inlineStr">
        <is>
          <t xml:space="preserve">Сумма операционных денежных потоков после процентов и налога.</t>
        </is>
      </c>
    </row>
    <row r="44" ht="25" customHeight="1">
      <c r="A44" s="18" t="inlineStr">
        <is>
          <t xml:space="preserve">Результат / вложения</t>
        </is>
      </c>
      <c r="B44" s="19">
        <f>IF(B42&gt;0,B39/B42,"")</f>
        <v>-1</v>
      </c>
      <c r="C44" s="19">
        <f>IF(C42&gt;0,C39/C42,"")</f>
        <v>-1</v>
      </c>
      <c r="D44" s="19">
        <f>IF(D42&gt;0,D39/D42,"")</f>
        <v>-1</v>
      </c>
      <c r="E44" s="19">
        <f>IF(E42&gt;0,E39/E42,"")</f>
        <v>-1</v>
      </c>
      <c r="F44" s="19">
        <f>IF(F42&gt;0,F39/F42,"")</f>
        <v>-1</v>
      </c>
      <c r="G44" s="19">
        <f>IF(G42&gt;0,G39/G42,"")</f>
        <v>-1</v>
      </c>
      <c r="H44" s="19">
        <f>IF(H42&gt;0,H39/H42,"")</f>
        <v>-1</v>
      </c>
      <c r="I44" s="19">
        <f>IF(I42&gt;0,I39/I42,"")</f>
        <v>-1</v>
      </c>
      <c r="J44" s="19">
        <f>IF(J42&gt;0,J39/J42,"")</f>
        <v>-1</v>
      </c>
      <c r="K44" s="19">
        <f>IF(K42&gt;0,K39/K42,"")</f>
        <v>-1</v>
      </c>
      <c r="L44" s="19">
        <f>IF(L42&gt;0,L39/L42,"")</f>
        <v>-1</v>
      </c>
      <c r="M44" s="19">
        <f>IF(M42&gt;0,M39/M42,"")</f>
        <v>0.1</v>
      </c>
      <c r="N44" s="20">
        <f>IF(N42&gt;0,N39/N42,"")</f>
        <v>0.1</v>
      </c>
      <c r="O44" s="9"/>
    </row>
    <row r="45" ht="25" customHeight="1">
      <c r="A45" s="21" t="inlineStr">
        <is>
          <t xml:space="preserve">Маржа чистой прибыли</t>
        </is>
      </c>
      <c r="B45" s="22" t="str">
        <f>IF(B8&gt;0,B30/B8,"")</f>
        <v/>
      </c>
      <c r="C45" s="22" t="str">
        <f>IF(C8&gt;0,C30/C8,"")</f>
        <v/>
      </c>
      <c r="D45" s="22" t="str">
        <f>IF(D8&gt;0,D30/D8,"")</f>
        <v/>
      </c>
      <c r="E45" s="22" t="str">
        <f>IF(E8&gt;0,E30/E8,"")</f>
        <v/>
      </c>
      <c r="F45" s="22" t="str">
        <f>IF(F8&gt;0,F30/F8,"")</f>
        <v/>
      </c>
      <c r="G45" s="22" t="str">
        <f>IF(G8&gt;0,G30/G8,"")</f>
        <v/>
      </c>
      <c r="H45" s="22" t="str">
        <f>IF(H8&gt;0,H30/H8,"")</f>
        <v/>
      </c>
      <c r="I45" s="22" t="str">
        <f>IF(I8&gt;0,I30/I8,"")</f>
        <v/>
      </c>
      <c r="J45" s="22" t="str">
        <f>IF(J8&gt;0,J30/J8,"")</f>
        <v/>
      </c>
      <c r="K45" s="22" t="str">
        <f>IF(K8&gt;0,K30/K8,"")</f>
        <v/>
      </c>
      <c r="L45" s="22" t="str">
        <f>IF(L8&gt;0,L30/L8,"")</f>
        <v/>
      </c>
      <c r="M45" s="22">
        <f>IF(M8&gt;0,M30/M8,"")</f>
        <v>1</v>
      </c>
      <c r="N45" s="20">
        <f>IF(N8&gt;0,N30/N8,"")</f>
        <v>1</v>
      </c>
      <c r="O45" s="8"/>
    </row>
    <row r="46" ht="25" customHeight="1">
      <c r="A46" s="18" t="inlineStr">
        <is>
          <t xml:space="preserve">CAC: стоимость клиента</t>
        </is>
      </c>
      <c r="B46" s="12" t="str">
        <f>IF(B16&gt;0,B14/B16,"")</f>
        <v/>
      </c>
      <c r="C46" s="12" t="str">
        <f>IF(C16&gt;0,C14/C16,"")</f>
        <v/>
      </c>
      <c r="D46" s="12" t="str">
        <f>IF(D16&gt;0,D14/D16,"")</f>
        <v/>
      </c>
      <c r="E46" s="12" t="str">
        <f>IF(E16&gt;0,E14/E16,"")</f>
        <v/>
      </c>
      <c r="F46" s="12" t="str">
        <f>IF(F16&gt;0,F14/F16,"")</f>
        <v/>
      </c>
      <c r="G46" s="12" t="str">
        <f>IF(G16&gt;0,G14/G16,"")</f>
        <v/>
      </c>
      <c r="H46" s="12" t="str">
        <f>IF(H16&gt;0,H14/H16,"")</f>
        <v/>
      </c>
      <c r="I46" s="12" t="str">
        <f>IF(I16&gt;0,I14/I16,"")</f>
        <v/>
      </c>
      <c r="J46" s="12" t="str">
        <f>IF(J16&gt;0,J14/J16,"")</f>
        <v/>
      </c>
      <c r="K46" s="12" t="str">
        <f>IF(K16&gt;0,K14/K16,"")</f>
        <v/>
      </c>
      <c r="L46" s="12" t="str">
        <f>IF(L16&gt;0,L14/L16,"")</f>
        <v/>
      </c>
      <c r="M46" s="12" t="str">
        <f>IF(M16&gt;0,M14/M16,"")</f>
        <v/>
      </c>
      <c r="N46" s="11" t="str">
        <f>IF(N16&gt;0,N14/N16,"")</f>
        <v/>
      </c>
      <c r="O46" s="9"/>
    </row>
    <row r="47" ht="25" customHeight="1">
      <c r="A47" s="21" t="inlineStr">
        <is>
          <t xml:space="preserve">CPL: стоимость заявки</t>
        </is>
      </c>
      <c r="B47" s="10" t="str">
        <f>IF(B15&gt;0,B14/B15,"")</f>
        <v/>
      </c>
      <c r="C47" s="10" t="str">
        <f>IF(C15&gt;0,C14/C15,"")</f>
        <v/>
      </c>
      <c r="D47" s="10" t="str">
        <f>IF(D15&gt;0,D14/D15,"")</f>
        <v/>
      </c>
      <c r="E47" s="10" t="str">
        <f>IF(E15&gt;0,E14/E15,"")</f>
        <v/>
      </c>
      <c r="F47" s="10" t="str">
        <f>IF(F15&gt;0,F14/F15,"")</f>
        <v/>
      </c>
      <c r="G47" s="10" t="str">
        <f>IF(G15&gt;0,G14/G15,"")</f>
        <v/>
      </c>
      <c r="H47" s="10" t="str">
        <f>IF(H15&gt;0,H14/H15,"")</f>
        <v/>
      </c>
      <c r="I47" s="10" t="str">
        <f>IF(I15&gt;0,I14/I15,"")</f>
        <v/>
      </c>
      <c r="J47" s="10" t="str">
        <f>IF(J15&gt;0,J14/J15,"")</f>
        <v/>
      </c>
      <c r="K47" s="10" t="str">
        <f>IF(K15&gt;0,K14/K15,"")</f>
        <v/>
      </c>
      <c r="L47" s="10" t="str">
        <f>IF(L15&gt;0,L14/L15,"")</f>
        <v/>
      </c>
      <c r="M47" s="10" t="str">
        <f>IF(M15&gt;0,M14/M15,"")</f>
        <v/>
      </c>
      <c r="N47" s="11" t="str">
        <f>IF(N15&gt;0,N14/N15,"")</f>
        <v/>
      </c>
      <c r="O47" s="8"/>
    </row>
    <row r="48" ht="25" customHeight="1">
      <c r="A48" s="18" t="inlineStr">
        <is>
          <t xml:space="preserve">ROAS: рекламная выручка / бюджет</t>
        </is>
      </c>
      <c r="B48" s="23" t="str">
        <f>IF(B14&gt;0,B17/B14,"")</f>
        <v/>
      </c>
      <c r="C48" s="23" t="str">
        <f>IF(C14&gt;0,C17/C14,"")</f>
        <v/>
      </c>
      <c r="D48" s="23" t="str">
        <f>IF(D14&gt;0,D17/D14,"")</f>
        <v/>
      </c>
      <c r="E48" s="23" t="str">
        <f>IF(E14&gt;0,E17/E14,"")</f>
        <v/>
      </c>
      <c r="F48" s="23" t="str">
        <f>IF(F14&gt;0,F17/F14,"")</f>
        <v/>
      </c>
      <c r="G48" s="23" t="str">
        <f>IF(G14&gt;0,G17/G14,"")</f>
        <v/>
      </c>
      <c r="H48" s="23" t="str">
        <f>IF(H14&gt;0,H17/H14,"")</f>
        <v/>
      </c>
      <c r="I48" s="23" t="str">
        <f>IF(I14&gt;0,I17/I14,"")</f>
        <v/>
      </c>
      <c r="J48" s="23" t="str">
        <f>IF(J14&gt;0,J17/J14,"")</f>
        <v/>
      </c>
      <c r="K48" s="23" t="str">
        <f>IF(K14&gt;0,K17/K14,"")</f>
        <v/>
      </c>
      <c r="L48" s="23" t="str">
        <f>IF(L14&gt;0,L17/L14,"")</f>
        <v/>
      </c>
      <c r="M48" s="23" t="str">
        <f>IF(M14&gt;0,M17/M14,"")</f>
        <v/>
      </c>
      <c r="N48" s="24" t="str">
        <f>IF(N14&gt;0,N17/N14,"")</f>
        <v/>
      </c>
      <c r="O48" s="9"/>
    </row>
    <row r="49" ht="25" customHeight="1">
      <c r="A49" s="21" t="inlineStr">
        <is>
          <t xml:space="preserve">Стартовый остаток</t>
        </is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1">
        <f>('Вводные'!B10+'Вводные'!B11+'Вводные'!B14-'Вводные'!B12)</f>
        <v>-100</v>
      </c>
      <c r="O49" s="8"/>
    </row>
    <row r="50" ht="55" customHeight="1">
      <c r="A50" s="18" t="inlineStr">
        <is>
          <t xml:space="preserve">Дополнительное финансирование</t>
        </is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1">
        <f>MAX(0,-MIN(('Вводные'!B10+'Вводные'!B11+'Вводные'!B14-'Вводные'!B12),B38:M38))</f>
        <v>100</v>
      </c>
      <c r="O50" s="9" t="inlineStr">
        <is>
          <t xml:space="preserve">По минимуму остатка на старте и концах месяцев; внутримесячные разрывы не оцениваются.</t>
        </is>
      </c>
    </row>
    <row r="51" ht="55" customHeight="1">
      <c r="A51" s="21" t="inlineStr">
        <is>
          <t xml:space="preserve">Безубыточная выручка М1</t>
        </is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1">
        <f>IF((1-IF('Вводные'!B4="manual",'Вводные'!B5/100,IF(B8&gt;0,B9/B8,1))-(0)-IF('Вводные'!B6="revenue",'Вводные'!B7/100,0))&gt;0,(B19-B8*(0)+B22+B25)/(1-IF('Вводные'!B4="manual",'Вводные'!B5/100,IF(B8&gt;0,B9/B8,1))-(0)-IF('Вводные'!B6="revenue",'Вводные'!B7/100,0)),"")</f>
        <v>0</v>
      </c>
      <c r="O51" s="8" t="inlineStr">
        <is>
          <t xml:space="preserve">При структуре затрат и продаж первого месяца, включая амортизацию и проценты.</t>
        </is>
      </c>
    </row>
    <row r="52" ht="25" customHeight="1">
      <c r="A52" s="18" t="inlineStr">
        <is>
          <t xml:space="preserve">Первое покрытие вложений, месяц</t>
        </is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7">
        <f>IF(('Вводные'!B12)=0,0,IF(B39&gt;=0,1,IF(C39&gt;=0,2,IF(D39&gt;=0,3,IF(E39&gt;=0,4,IF(F39&gt;=0,5,IF(G39&gt;=0,6,IF(H39&gt;=0,7,IF(I39&gt;=0,8,IF(J39&gt;=0,9,IF(K39&gt;=0,10,IF(L39&gt;=0,11,IF(M39&gt;=0,12,"Не достигнуто")))))))))))))</f>
        <v>12</v>
      </c>
      <c r="O52" s="9"/>
    </row>
    <row r="53" ht="30" customHeight="1">
      <c r="A53" s="8" t="inlineStr">
        <is>
          <t xml:space="preserve">Источник: введённые пользователем допущения. Начальные данные — пример, не рыночный прогноз.</t>
        </is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7"/>
      <c r="O53" s="8"/>
    </row>
    <row r="54" ht="30" customHeight="1">
      <c r="A54" s="9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7"/>
      <c r="O54" s="9"/>
    </row>
    <row r="55" ht="30" customHeight="1">
      <c r="A55" s="8" t="inlineStr">
        <is>
          <t xml:space="preserve">Кредит и взнос до М1. Аннуитет с М1, без комиссий и досрочных погашений.</t>
        </is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7"/>
      <c r="O55" s="8"/>
    </row>
    <row r="56" ht="30" customHeight="1">
      <c r="A56" s="9" t="inlineStr">
        <is>
          <t xml:space="preserve">Задержки оплаты: целые месяцы. Начальные дебиторская и кредиторская задолженности — 0.</t>
        </is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7"/>
      <c r="O56" s="9"/>
    </row>
    <row r="57" ht="30" customHeight="1">
      <c r="A57" s="8" t="inlineStr">
        <is>
          <t xml:space="preserve">Оценка рекламной выручки не добавляется к обороту. Укажите эти продажи в плане выручки.</t>
        </is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7"/>
      <c r="O57" s="8"/>
    </row>
    <row r="58" ht="30" customHeight="1">
      <c r="A58" s="9" t="inlineStr">
        <is>
          <t xml:space="preserve">Редактируйте значения на листе «Вводные». Формулы на листе «Модель» пересчитаются в Excel.</t>
        </is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7"/>
      <c r="O58" s="9"/>
    </row>
  </sheetData>
  <mergeCells count="8">
    <mergeCell ref="A1:O1"/>
    <mergeCell ref="A2:O2"/>
    <mergeCell ref="A53:O53"/>
    <mergeCell ref="A54:O54"/>
    <mergeCell ref="A55:O55"/>
    <mergeCell ref="A56:O56"/>
    <mergeCell ref="A57:O57"/>
    <mergeCell ref="A58:O58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7" t="inlineStr">
        <is>
          <t xml:space="preserve">ВВОДНЫЕ / Мой бизнес</t>
        </is>
      </c>
      <c r="B1" s="8"/>
      <c r="C1" s="8"/>
    </row>
    <row r="2" ht="25" customHeight="1">
      <c r="A2" s="9" t="inlineStr">
        <is>
          <t xml:space="preserve">Редактируйте колонку B. Суммы в KZT. Проценты задаются числом: 10 = 10%.</t>
        </is>
      </c>
      <c r="B2" s="9"/>
      <c r="C2" s="9"/>
    </row>
    <row r="3" ht="25" customHeight="1">
      <c r="A3" s="7" t="inlineStr">
        <is>
          <t xml:space="preserve">Параметр</t>
        </is>
      </c>
      <c r="B3" s="7" t="inlineStr">
        <is>
          <t xml:space="preserve">Значение</t>
        </is>
      </c>
      <c r="C3" s="7" t="inlineStr">
        <is>
          <t xml:space="preserve">Пояснение</t>
        </is>
      </c>
    </row>
    <row r="4" ht="42" customHeight="1">
      <c r="A4" s="9" t="inlineStr">
        <is>
          <t xml:space="preserve">Способ ввода выручки</t>
        </is>
      </c>
      <c r="B4" s="25" t="inlineStr">
        <is>
          <t xml:space="preserve">manual</t>
        </is>
      </c>
      <c r="C4" s="9" t="inlineStr">
        <is>
          <t xml:space="preserve">items — товары; manual — ручной оборот</t>
        </is>
      </c>
    </row>
    <row r="5" ht="42" customHeight="1">
      <c r="A5" s="8" t="inlineStr">
        <is>
          <t xml:space="preserve">Себестоимость ручного оборота, %</t>
        </is>
      </c>
      <c r="B5" s="25">
        <v>0</v>
      </c>
      <c r="C5" s="8" t="inlineStr">
        <is>
          <t xml:space="preserve"/>
        </is>
      </c>
    </row>
    <row r="6" ht="42" customHeight="1">
      <c r="A6" s="9" t="inlineStr">
        <is>
          <t xml:space="preserve">База условного налога</t>
        </is>
      </c>
      <c r="B6" s="25" t="inlineStr">
        <is>
          <t xml:space="preserve">none</t>
        </is>
      </c>
      <c r="C6" s="9" t="inlineStr">
        <is>
          <t xml:space="preserve">profit — прибыль; revenue — оборот; none — без налога</t>
        </is>
      </c>
    </row>
    <row r="7" ht="42" customHeight="1">
      <c r="A7" s="8" t="inlineStr">
        <is>
          <t xml:space="preserve">Ставка налога, %</t>
        </is>
      </c>
      <c r="B7" s="25">
        <v>10</v>
      </c>
      <c r="C7" s="8" t="inlineStr">
        <is>
          <t xml:space="preserve"/>
        </is>
      </c>
    </row>
    <row r="8" ht="42" customHeight="1">
      <c r="A8" s="9" t="inlineStr">
        <is>
          <t xml:space="preserve">Оплата клиентов через, мес.</t>
        </is>
      </c>
      <c r="B8" s="25">
        <v>0</v>
      </c>
      <c r="C8" s="9" t="inlineStr">
        <is>
          <t xml:space="preserve">Целые месяцы от 0 до 12</t>
        </is>
      </c>
    </row>
    <row r="9" ht="42" customHeight="1">
      <c r="A9" s="8" t="inlineStr">
        <is>
          <t xml:space="preserve">Оплата себестоимости через, мес.</t>
        </is>
      </c>
      <c r="B9" s="25">
        <v>0</v>
      </c>
      <c r="C9" s="8" t="inlineStr">
        <is>
          <t xml:space="preserve">Целые месяцы от 0 до 12</t>
        </is>
      </c>
    </row>
    <row r="10" ht="42" customHeight="1">
      <c r="A10" s="9" t="inlineStr">
        <is>
          <t xml:space="preserve">Деньги на начало</t>
        </is>
      </c>
      <c r="B10" s="25">
        <v>0</v>
      </c>
      <c r="C10" s="9" t="inlineStr">
        <is>
          <t xml:space="preserve"/>
        </is>
      </c>
    </row>
    <row r="11" ht="42" customHeight="1">
      <c r="A11" s="8" t="inlineStr">
        <is>
          <t xml:space="preserve">Взнос собственника до М1</t>
        </is>
      </c>
      <c r="B11" s="25">
        <v>0</v>
      </c>
      <c r="C11" s="8" t="inlineStr">
        <is>
          <t xml:space="preserve"/>
        </is>
      </c>
    </row>
    <row r="12" ht="42" customHeight="1">
      <c r="A12" s="9" t="inlineStr">
        <is>
          <t xml:space="preserve">Вложения до М1</t>
        </is>
      </c>
      <c r="B12" s="25">
        <v>100</v>
      </c>
      <c r="C12" s="9" t="inlineStr">
        <is>
          <t xml:space="preserve"/>
        </is>
      </c>
    </row>
    <row r="13" ht="42" customHeight="1">
      <c r="A13" s="8" t="inlineStr">
        <is>
          <t xml:space="preserve">Амортизация начальных вложений, мес. (0 — нет)</t>
        </is>
      </c>
      <c r="B13" s="25">
        <v>0</v>
      </c>
      <c r="C13" s="8" t="inlineStr">
        <is>
          <t xml:space="preserve">0 отключает амортизацию начальных вложений</t>
        </is>
      </c>
    </row>
    <row r="14" ht="42" customHeight="1">
      <c r="A14" s="9" t="inlineStr">
        <is>
          <t xml:space="preserve">Кредит до М1</t>
        </is>
      </c>
      <c r="B14" s="25">
        <v>0</v>
      </c>
      <c r="C14" s="9" t="inlineStr">
        <is>
          <t xml:space="preserve"/>
        </is>
      </c>
    </row>
    <row r="15" ht="42" customHeight="1">
      <c r="A15" s="8" t="inlineStr">
        <is>
          <t xml:space="preserve">Годовая ставка кредита, %</t>
        </is>
      </c>
      <c r="B15" s="25">
        <v>18</v>
      </c>
      <c r="C15" s="8" t="inlineStr">
        <is>
          <t xml:space="preserve"/>
        </is>
      </c>
    </row>
    <row r="16" ht="42" customHeight="1">
      <c r="A16" s="9" t="inlineStr">
        <is>
          <t xml:space="preserve">Срок кредита, мес.</t>
        </is>
      </c>
      <c r="B16" s="25">
        <v>24</v>
      </c>
      <c r="C16" s="9" t="inlineStr">
        <is>
          <t xml:space="preserve"/>
        </is>
      </c>
    </row>
    <row r="17" ht="42" customHeight="1">
      <c r="A17" s="8" t="inlineStr">
        <is>
          <t xml:space="preserve">Дисконтирование: эффективная годовая ставка, %</t>
        </is>
      </c>
      <c r="B17" s="25">
        <v>10</v>
      </c>
      <c r="C17" s="8" t="inlineStr">
        <is>
          <t xml:space="preserve"/>
        </is>
      </c>
    </row>
    <row r="18" ht="42" customHeight="1">
      <c r="A18" s="9" t="inlineStr">
        <is>
          <t xml:space="preserve">Валовая маржа рекламных продаж, %</t>
        </is>
      </c>
      <c r="B18" s="25">
        <v>65</v>
      </c>
      <c r="C18" s="9" t="inlineStr">
        <is>
          <t xml:space="preserve"/>
        </is>
      </c>
    </row>
    <row r="19" ht="42" customHeight="1">
      <c r="A19" s="8" t="inlineStr">
        <is>
          <t xml:space="preserve">Средний собственный капитал за год</t>
        </is>
      </c>
      <c r="B19" s="25">
        <v>200</v>
      </c>
      <c r="C19" s="8" t="inlineStr">
        <is>
          <t xml:space="preserve"/>
        </is>
      </c>
    </row>
    <row r="20" ht="42" customHeight="1">
      <c r="A20" s="9" t="inlineStr">
        <is>
          <t xml:space="preserve">Средние активы за год</t>
        </is>
      </c>
      <c r="B20" s="25">
        <v>400</v>
      </c>
      <c r="C20" s="9" t="inlineStr">
        <is>
          <t xml:space="preserve"/>
        </is>
      </c>
    </row>
    <row r="21" ht="42" customHeight="1">
      <c r="A21" s="8" t="inlineStr">
        <is>
          <t xml:space="preserve">Выручка на клиента за месяц</t>
        </is>
      </c>
      <c r="B21" s="25">
        <v>0</v>
      </c>
      <c r="C21" s="8" t="inlineStr">
        <is>
          <t xml:space="preserve"/>
        </is>
      </c>
    </row>
    <row r="22" ht="42" customHeight="1">
      <c r="A22" s="9" t="inlineStr">
        <is>
          <t xml:space="preserve">Валовая маржа клиента, %</t>
        </is>
      </c>
      <c r="B22" s="25">
        <v>65</v>
      </c>
      <c r="C22" s="9" t="inlineStr">
        <is>
          <t xml:space="preserve"/>
        </is>
      </c>
    </row>
    <row r="23" ht="42" customHeight="1">
      <c r="A23" s="8" t="inlineStr">
        <is>
          <t xml:space="preserve">Средний срок жизни клиента, мес.</t>
        </is>
      </c>
      <c r="B23" s="25">
        <v>12</v>
      </c>
      <c r="C23" s="8" t="inlineStr">
        <is>
          <t xml:space="preserve"/>
        </is>
      </c>
    </row>
    <row r="24" ht="42" customHeight="1">
      <c r="A24" s="9" t="inlineStr">
        <is>
          <t xml:space="preserve">Прочие затраты на привлечение за год, уже в расходах</t>
        </is>
      </c>
      <c r="B24" s="25">
        <v>0</v>
      </c>
      <c r="C24" s="9" t="inlineStr">
        <is>
          <t xml:space="preserve"/>
        </is>
      </c>
    </row>
    <row r="25" ht="42" customHeight="1">
      <c r="A25" s="8" t="inlineStr">
        <is>
          <t xml:space="preserve">Начальная сумма накоплений</t>
        </is>
      </c>
      <c r="B25" s="25">
        <v>1000</v>
      </c>
      <c r="C25" s="8" t="inlineStr">
        <is>
          <t xml:space="preserve"/>
        </is>
      </c>
    </row>
    <row r="26" ht="42" customHeight="1">
      <c r="A26" s="9" t="inlineStr">
        <is>
          <t xml:space="preserve">Эффективная годовая ставка накоплений, %</t>
        </is>
      </c>
      <c r="B26" s="25">
        <v>0</v>
      </c>
      <c r="C26" s="9" t="inlineStr">
        <is>
          <t xml:space="preserve"/>
        </is>
      </c>
    </row>
    <row r="27" ht="42" customHeight="1">
      <c r="A27" s="8" t="inlineStr">
        <is>
          <t xml:space="preserve">Срок накоплений, мес.</t>
        </is>
      </c>
      <c r="B27" s="25">
        <v>12</v>
      </c>
      <c r="C27" s="8" t="inlineStr">
        <is>
          <t xml:space="preserve"/>
        </is>
      </c>
    </row>
    <row r="28" ht="42" customHeight="1">
      <c r="A28" s="9" t="inlineStr">
        <is>
          <t xml:space="preserve">Пополнение в конце каждого месяца</t>
        </is>
      </c>
      <c r="B28" s="25">
        <v>100</v>
      </c>
      <c r="C28" s="9" t="inlineStr">
        <is>
          <t xml:space="preserve"/>
        </is>
      </c>
    </row>
    <row r="29" ht="42" customHeight="1">
      <c r="A29" s="8" t="inlineStr">
        <is>
          <t xml:space="preserve">Множитель сценария</t>
        </is>
      </c>
      <c r="B29" s="25">
        <v>1</v>
      </c>
      <c r="C29" s="8" t="inlineStr">
        <is>
          <t xml:space="preserve">База: 1; осторожный: 0.8; оптимистичный: 1.2</t>
        </is>
      </c>
    </row>
    <row r="30" ht="42" customHeight="1">
      <c r="A30" s="9" t="inlineStr">
        <is>
          <t xml:space="preserve">Ручной оборот · М1</t>
        </is>
      </c>
      <c r="B30" s="25">
        <v>0</v>
      </c>
      <c r="C30" s="9" t="inlineStr">
        <is>
          <t xml:space="preserve"/>
        </is>
      </c>
    </row>
    <row r="31" ht="42" customHeight="1">
      <c r="A31" s="8" t="inlineStr">
        <is>
          <t xml:space="preserve">Ручной оборот · М2</t>
        </is>
      </c>
      <c r="B31" s="25">
        <v>0</v>
      </c>
      <c r="C31" s="8" t="inlineStr">
        <is>
          <t xml:space="preserve"/>
        </is>
      </c>
    </row>
    <row r="32" ht="42" customHeight="1">
      <c r="A32" s="9" t="inlineStr">
        <is>
          <t xml:space="preserve">Ручной оборот · М3</t>
        </is>
      </c>
      <c r="B32" s="25">
        <v>0</v>
      </c>
      <c r="C32" s="9" t="inlineStr">
        <is>
          <t xml:space="preserve"/>
        </is>
      </c>
    </row>
    <row r="33" ht="42" customHeight="1">
      <c r="A33" s="8" t="inlineStr">
        <is>
          <t xml:space="preserve">Ручной оборот · М4</t>
        </is>
      </c>
      <c r="B33" s="25">
        <v>0</v>
      </c>
      <c r="C33" s="8" t="inlineStr">
        <is>
          <t xml:space="preserve"/>
        </is>
      </c>
    </row>
    <row r="34" ht="42" customHeight="1">
      <c r="A34" s="9" t="inlineStr">
        <is>
          <t xml:space="preserve">Ручной оборот · М5</t>
        </is>
      </c>
      <c r="B34" s="25">
        <v>0</v>
      </c>
      <c r="C34" s="9" t="inlineStr">
        <is>
          <t xml:space="preserve"/>
        </is>
      </c>
    </row>
    <row r="35" ht="42" customHeight="1">
      <c r="A35" s="8" t="inlineStr">
        <is>
          <t xml:space="preserve">Ручной оборот · М6</t>
        </is>
      </c>
      <c r="B35" s="25">
        <v>0</v>
      </c>
      <c r="C35" s="8" t="inlineStr">
        <is>
          <t xml:space="preserve"/>
        </is>
      </c>
    </row>
    <row r="36" ht="42" customHeight="1">
      <c r="A36" s="9" t="inlineStr">
        <is>
          <t xml:space="preserve">Ручной оборот · М7</t>
        </is>
      </c>
      <c r="B36" s="25">
        <v>0</v>
      </c>
      <c r="C36" s="9" t="inlineStr">
        <is>
          <t xml:space="preserve"/>
        </is>
      </c>
    </row>
    <row r="37" ht="42" customHeight="1">
      <c r="A37" s="8" t="inlineStr">
        <is>
          <t xml:space="preserve">Ручной оборот · М8</t>
        </is>
      </c>
      <c r="B37" s="25">
        <v>0</v>
      </c>
      <c r="C37" s="8" t="inlineStr">
        <is>
          <t xml:space="preserve"/>
        </is>
      </c>
    </row>
    <row r="38" ht="42" customHeight="1">
      <c r="A38" s="9" t="inlineStr">
        <is>
          <t xml:space="preserve">Ручной оборот · М9</t>
        </is>
      </c>
      <c r="B38" s="25">
        <v>0</v>
      </c>
      <c r="C38" s="9" t="inlineStr">
        <is>
          <t xml:space="preserve"/>
        </is>
      </c>
    </row>
    <row r="39" ht="42" customHeight="1">
      <c r="A39" s="8" t="inlineStr">
        <is>
          <t xml:space="preserve">Ручной оборот · М10</t>
        </is>
      </c>
      <c r="B39" s="25">
        <v>0</v>
      </c>
      <c r="C39" s="8" t="inlineStr">
        <is>
          <t xml:space="preserve"/>
        </is>
      </c>
    </row>
    <row r="40" ht="42" customHeight="1">
      <c r="A40" s="9" t="inlineStr">
        <is>
          <t xml:space="preserve">Ручной оборот · М11</t>
        </is>
      </c>
      <c r="B40" s="25">
        <v>0</v>
      </c>
      <c r="C40" s="9" t="inlineStr">
        <is>
          <t xml:space="preserve"/>
        </is>
      </c>
    </row>
    <row r="41" ht="42" customHeight="1">
      <c r="A41" s="8" t="inlineStr">
        <is>
          <t xml:space="preserve">Ручной оборот · М12</t>
        </is>
      </c>
      <c r="B41" s="25">
        <v>110</v>
      </c>
      <c r="C41" s="8" t="inlineStr">
        <is>
          <t xml:space="preserve"/>
        </is>
      </c>
    </row>
    <row r="42" ht="42" customHeight="1">
      <c r="A42" s="9" t="inlineStr">
        <is>
          <t xml:space="preserve">Основной продукт · Название</t>
        </is>
      </c>
      <c r="B42" s="25" t="inlineStr">
        <is>
          <t xml:space="preserve">Основной продукт</t>
        </is>
      </c>
      <c r="C42" s="9" t="inlineStr">
        <is>
          <t xml:space="preserve"/>
        </is>
      </c>
    </row>
    <row r="43" ht="42" customHeight="1">
      <c r="A43" s="8" t="inlineStr">
        <is>
          <t xml:space="preserve">Основной продукт · Количество в первый активный месяц</t>
        </is>
      </c>
      <c r="B43" s="25">
        <v>300</v>
      </c>
      <c r="C43" s="8" t="inlineStr">
        <is>
          <t xml:space="preserve"/>
        </is>
      </c>
    </row>
    <row r="44" ht="42" customHeight="1">
      <c r="A44" s="9" t="inlineStr">
        <is>
          <t xml:space="preserve">Основной продукт · Цена</t>
        </is>
      </c>
      <c r="B44" s="25">
        <v>8500</v>
      </c>
      <c r="C44" s="9" t="inlineStr">
        <is>
          <t xml:space="preserve"/>
        </is>
      </c>
    </row>
    <row r="45" ht="42" customHeight="1">
      <c r="A45" s="8" t="inlineStr">
        <is>
          <t xml:space="preserve">Основной продукт · Рост в месяц, %</t>
        </is>
      </c>
      <c r="B45" s="25">
        <v>4</v>
      </c>
      <c r="C45" s="8" t="inlineStr">
        <is>
          <t xml:space="preserve"/>
        </is>
      </c>
    </row>
    <row r="46" ht="42" customHeight="1">
      <c r="A46" s="9" t="inlineStr">
        <is>
          <t xml:space="preserve">Основной продукт · Себестоимость, % выручки</t>
        </is>
      </c>
      <c r="B46" s="25">
        <v>35</v>
      </c>
      <c r="C46" s="9" t="inlineStr">
        <is>
          <t xml:space="preserve"/>
        </is>
      </c>
    </row>
    <row r="47" ht="42" customHeight="1">
      <c r="A47" s="8" t="inlineStr">
        <is>
          <t xml:space="preserve">Основной продукт · С месяца</t>
        </is>
      </c>
      <c r="B47" s="25">
        <v>1</v>
      </c>
      <c r="C47" s="8" t="inlineStr">
        <is>
          <t xml:space="preserve">Номер периода: 1 — М1, …, 12 — М12</t>
        </is>
      </c>
    </row>
    <row r="48" ht="42" customHeight="1">
      <c r="A48" s="9" t="inlineStr">
        <is>
          <t xml:space="preserve">Основной продукт · По месяц</t>
        </is>
      </c>
      <c r="B48" s="25">
        <v>12</v>
      </c>
      <c r="C48" s="9" t="inlineStr">
        <is>
          <t xml:space="preserve">Номер периода: 1 — М1, …, 12 — М12</t>
        </is>
      </c>
    </row>
  </sheetData>
  <mergeCells count="2">
    <mergeCell ref="A1:C1"/>
    <mergeCell ref="A2:C2"/>
  </mergeCells>
  <dataValidations count="44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</formula2>
    </dataValidation>
    <dataValidation type="decimal" operator="between" allowBlank="0" showErrorMessage="1" sqref="B18">
      <formula1>0</formula1>
      <formula2>100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</formula2>
    </dataValidation>
    <dataValidation type="decimal" operator="between" allowBlank="0" showErrorMessage="1" sqref="B23">
      <formula1>0.01</formula1>
      <formula2>600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</formula2>
    </dataValidation>
    <dataValidation type="whole" operator="between" allowBlank="0" showErrorMessage="1" sqref="B27">
      <formula1>1</formula1>
      <formula2>600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0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0</formula1>
      <formula2>1000000000000</formula2>
    </dataValidation>
    <dataValidation type="decimal" operator="between" allowBlank="0" showErrorMessage="1" sqref="B34">
      <formula1>0</formula1>
      <formula2>1000000000000</formula2>
    </dataValidation>
    <dataValidation type="decimal" operator="between" allowBlank="0" showErrorMessage="1" sqref="B35">
      <formula1>0</formula1>
      <formula2>1000000000000</formula2>
    </dataValidation>
    <dataValidation type="decimal" operator="between" allowBlank="0" showErrorMessage="1" sqref="B36">
      <formula1>0</formula1>
      <formula2>1000000000000</formula2>
    </dataValidation>
    <dataValidation type="decimal" operator="between" allowBlank="0" showErrorMessage="1" sqref="B37">
      <formula1>0</formula1>
      <formula2>1000000000000</formula2>
    </dataValidation>
    <dataValidation type="decimal" operator="between" allowBlank="0" showErrorMessage="1" sqref="B38">
      <formula1>0</formula1>
      <formula2>1000000000000</formula2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0</formula1>
      <formula2>1000000000000</formula2>
    </dataValidation>
    <dataValidation type="decimal" operator="between" allowBlank="0" showErrorMessage="1" sqref="B41">
      <formula1>0</formula1>
      <formula2>1000000000000</formula2>
    </dataValidation>
    <dataValidation type="decimal" operator="between" allowBlank="0" showErrorMessage="1" sqref="B43">
      <formula1>0</formula1>
      <formula2>1000000000000</formula2>
    </dataValidation>
    <dataValidation type="decimal" operator="between" allowBlank="0" showErrorMessage="1" sqref="B44">
      <formula1>0</formula1>
      <formula2>1000000000000</formula2>
    </dataValidation>
    <dataValidation type="decimal" operator="between" allowBlank="0" showErrorMessage="1" sqref="B45">
      <formula1>-100</formula1>
      <formula2>100</formula2>
    </dataValidation>
    <dataValidation type="decimal" operator="between" allowBlank="0" showErrorMessage="1" sqref="B46">
      <formula1>0</formula1>
      <formula2>100</formula2>
    </dataValidation>
    <dataValidation type="whole" operator="between" allowBlank="0" showErrorMessage="1" sqref="B47">
      <formula1>1</formula1>
      <formula2>12</formula2>
    </dataValidation>
    <dataValidation type="whole" operator="between" allowBlank="0" showErrorMessage="1" sqref="B48">
      <formula1>1</formula1>
      <formula2>12</formula2>
    </dataValidation>
  </dataValidations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47" customWidth="1"/>
    <col min="2" max="2" width="28" customWidth="1"/>
    <col min="3" max="3" width="100" customWidth="1"/>
    <col min="4" max="14" width="20" customWidth="1"/>
  </cols>
  <sheetData>
    <row r="1" ht="35" customHeight="1">
      <c r="A1" s="7" t="inlineStr">
        <is>
          <t>Доходность, клиенты и сложные проценты</t>
        </is>
      </c>
      <c r="B1" s="8"/>
      <c r="C1" s="8"/>
    </row>
    <row r="2" ht="35" customHeight="1">
      <c r="A2" s="9" t="inlineStr">
        <is>
          <t>Все показатели бизнеса — за 12 месяцев выбранного сценария. Накопления — отдельный расчёт.</t>
        </is>
      </c>
      <c r="B2" s="9"/>
      <c r="C2" s="9"/>
    </row>
    <row r="3" ht="35" customHeight="1">
      <c r="A3" s="7" t="inlineStr">
        <is>
          <t>Показатель</t>
        </is>
      </c>
      <c r="B3" s="7" t="inlineStr">
        <is>
          <t>Значение</t>
        </is>
      </c>
      <c r="C3" s="7" t="inlineStr">
        <is>
          <t>Формула и условия</t>
        </is>
      </c>
    </row>
    <row r="4" ht="60" customHeight="1">
      <c r="A4" s="16" t="inlineStr">
        <is>
          <t>ROI</t>
        </is>
      </c>
      <c r="B4" s="20">
        <f>IF('Модель'!N42&gt;0,'Модель'!N30/'Модель'!N42,"")</f>
        <v>1.1</v>
      </c>
      <c r="C4" s="26" t="inlineStr">
        <is>
          <t>Чистая прибыль / все инвестиции. Учётная доходность за горизонт модели.</t>
        </is>
      </c>
    </row>
    <row r="5" ht="60" customHeight="1">
      <c r="A5" s="21" t="inlineStr">
        <is>
          <t>ROMI</t>
        </is>
      </c>
      <c r="B5" s="22" t="str">
        <f>IF(TRUE,IF('Модель'!N14&gt;0,('Модель'!N17*'Вводные'!B18/100-'Модель'!N14)/'Модель'!N14,""),"")</f>
        <v/>
      </c>
      <c r="C5" s="8" t="inlineStr">
        <is>
          <t>(Рекламная выручка × валовая маржа − маркетинг) / маркетинг. Оценка атрибуции, не причинный прирост.</t>
        </is>
      </c>
    </row>
    <row r="6" ht="60" customHeight="1">
      <c r="A6" s="18" t="inlineStr">
        <is>
          <t>ROAS, раз</t>
        </is>
      </c>
      <c r="B6" s="23" t="str">
        <f>IF(TRUE,IF('Модель'!N14&gt;0,'Модель'!N17/'Модель'!N14,""),"")</f>
        <v/>
      </c>
      <c r="C6" s="9" t="inlineStr">
        <is>
          <t>Оценка рекламной выручки / бюджет каналов.</t>
        </is>
      </c>
    </row>
    <row r="7" ht="60" customHeight="1">
      <c r="A7" s="21" t="inlineStr">
        <is>
          <t>RR: рентабельность затрат</t>
        </is>
      </c>
      <c r="B7" s="22" t="str">
        <f>IF('Модель'!N31&gt;0,'Модель'!N30/'Модель'!N31,"")</f>
        <v/>
      </c>
      <c r="C7" s="8" t="inlineStr">
        <is>
          <t>Чистая прибыль / все расходы в прибыли.</t>
        </is>
      </c>
    </row>
    <row r="8" ht="60" customHeight="1">
      <c r="A8" s="18" t="inlineStr">
        <is>
          <t>Маржа чистой прибыли</t>
        </is>
      </c>
      <c r="B8" s="19">
        <f>IF('Модель'!N8&gt;0,'Модель'!N30/'Модель'!N8,"")</f>
        <v>1</v>
      </c>
      <c r="C8" s="9" t="inlineStr">
        <is>
          <t>Чистая прибыль / выручка.</t>
        </is>
      </c>
    </row>
    <row r="9" ht="60" customHeight="1">
      <c r="A9" s="16" t="inlineStr">
        <is>
          <t>Срок окупаемости, мес.</t>
        </is>
      </c>
      <c r="B9" s="24">
        <f>IF(MIN(C41:N41)&lt;1000000000,MIN(C41:N41),"Не достигнут")</f>
        <v>11.909090909090908</v>
      </c>
      <c r="C9" s="26" t="inlineStr">
        <is>
          <t>Первое покрытие отрицательного накопленного потока. Доля месяца — линейная интерполяция.</t>
        </is>
      </c>
    </row>
    <row r="10" ht="60" customHeight="1">
      <c r="A10" s="16" t="inlineStr">
        <is>
          <t>Дисконтированный срок, мес.</t>
        </is>
      </c>
      <c r="B10" s="24" t="str">
        <f>IF(MIN(C42:N42)&lt;1000000000,MIN(C42:N42),"Не достигнут")</f>
        <v>Не достигнут</v>
      </c>
      <c r="C10" s="26" t="inlineStr">
        <is>
          <t>Первое покрытие дисконтированных вложений; горизонт 12 месяцев.</t>
        </is>
      </c>
    </row>
    <row r="11" ht="60" customHeight="1">
      <c r="A11" s="16" t="inlineStr">
        <is>
          <t>NPV</t>
        </is>
      </c>
      <c r="B11" s="11">
        <f>SUM(B36:N36)</f>
        <v>-2.842170943040401e-14</v>
      </c>
      <c r="C11" s="26" t="inlineStr">
        <is>
          <t>Начальные вложения и свободные потоки после процентов и налога; без выдачи и тела кредита, без остаточной стоимости.</t>
        </is>
      </c>
    </row>
    <row r="12" ht="60" customHeight="1">
      <c r="A12" s="16" t="inlineStr">
        <is>
          <t>IRR: эффективная годовая</t>
        </is>
      </c>
      <c r="B12" s="20">
        <f>IF(ISNUMBER(B13),(1+B13)^12-1,"Не определена / неоднозначна")</f>
        <v>0.09999999999999996</v>
      </c>
      <c r="C12" s="26" t="inlineStr">
        <is>
          <t>(1 + месячная IRR)^12 − 1.</t>
        </is>
      </c>
    </row>
    <row r="13" ht="60" customHeight="1">
      <c r="A13" s="21" t="inlineStr">
        <is>
          <t>IRR: месячная</t>
        </is>
      </c>
      <c r="B13" s="22">
        <f>IF(AND(MIN(B35:N35)&lt;0,MAX(B35:N35)&gt;0,SUM(B40:N40)=1),IFERROR(IRR(B35:N35,0.007974140428903738),"Нет сходимости"),"Не определена / неоднозначна")</f>
        <v>0.007974140428903738</v>
      </c>
      <c r="C13" s="8" t="inlineStr">
        <is>
          <t>Ставка, при которой NPV = 0. При нескольких сменах знака не показывается как однозначная.</t>
        </is>
      </c>
    </row>
    <row r="14" ht="60" customHeight="1">
      <c r="A14" s="16" t="inlineStr">
        <is>
          <t>ROE</t>
        </is>
      </c>
      <c r="B14" s="20">
        <f>IF('Вводные'!B19&gt;0,'Модель'!N30/'Вводные'!B19,"")</f>
        <v>0.55</v>
      </c>
      <c r="C14" s="26" t="inlineStr">
        <is>
          <t>Чистая прибыль / введённый средний собственный капитал за год.</t>
        </is>
      </c>
    </row>
    <row r="15" ht="60" customHeight="1">
      <c r="A15" s="16" t="inlineStr">
        <is>
          <t>ROA</t>
        </is>
      </c>
      <c r="B15" s="20">
        <f>IF('Вводные'!B20&gt;0,'Модель'!N30/'Вводные'!B20,"")</f>
        <v>0.275</v>
      </c>
      <c r="C15" s="26" t="inlineStr">
        <is>
          <t>Чистая прибыль / введённые средние активы за год.</t>
        </is>
      </c>
    </row>
    <row r="16" ht="60" customHeight="1">
      <c r="A16" s="18" t="inlineStr">
        <is>
          <t>LTV: валовая прибыль</t>
        </is>
      </c>
      <c r="B16" s="12" t="str">
        <f>IF('Вводные'!B21&gt;0,'Вводные'!B21*'Вводные'!B22/100*'Вводные'!B23,"")</f>
        <v/>
      </c>
      <c r="C16" s="9" t="inlineStr">
        <is>
          <t>Месячная выручка на клиента × валовая маржа × срок жизни. До привлечения, без дисконтирования.</t>
        </is>
      </c>
    </row>
    <row r="17" ht="60" customHeight="1">
      <c r="A17" s="21" t="inlineStr">
        <is>
          <t>CAC: стоимость нового клиента</t>
        </is>
      </c>
      <c r="B17" s="10" t="str">
        <f>IF(TRUE,IF('Модель'!N16&gt;0,('Модель'!N14+'Вводные'!B24)/'Модель'!N16,""),"")</f>
        <v/>
      </c>
      <c r="C17" s="8" t="inlineStr">
        <is>
          <t>Маркетинг и прочие затраты на привлечение / новые клиенты воронки. Прочие затраты уже должны быть в расходах.</t>
        </is>
      </c>
    </row>
    <row r="18" ht="60" customHeight="1">
      <c r="A18" s="16" t="inlineStr">
        <is>
          <t>LTV / CAC, раз</t>
        </is>
      </c>
      <c r="B18" s="24" t="str">
        <f>IF(AND(ISNUMBER(B16),ISNUMBER(B17),B17&gt;0),B16/B17,"")</f>
        <v/>
      </c>
      <c r="C18" s="26" t="inlineStr">
        <is>
          <t>Валовая прибыль за жизнь клиента / стоимость привлечения.</t>
        </is>
      </c>
    </row>
    <row r="20" ht="60" customHeight="1">
      <c r="A20" s="18" t="inlineStr">
        <is>
          <t>Месячная ставка дисконтирования</t>
        </is>
      </c>
      <c r="B20" s="19">
        <f>(1+'Вводные'!B17/100)^(1/12)-1</f>
        <v>0.007974140428903742</v>
      </c>
      <c r="C20" s="9" t="inlineStr">
        <is>
          <t>Эквивалент эффективной годовой ставки.</t>
        </is>
      </c>
    </row>
    <row r="23" ht="35" customHeight="1">
      <c r="A23" s="7" t="inlineStr">
        <is>
          <t>Сложные проценты: отдельный калькулятор</t>
        </is>
      </c>
      <c r="B23" s="8"/>
      <c r="C23" s="8"/>
    </row>
    <row r="24" ht="60" customHeight="1">
      <c r="A24" s="18" t="inlineStr">
        <is>
          <t>Месячная ставка накоплений</t>
        </is>
      </c>
      <c r="B24" s="19">
        <f>(1+'Вводные'!B26/100)^(1/12)-1</f>
        <v>0</v>
      </c>
      <c r="C24" s="9" t="inlineStr">
        <is>
          <t>Эквивалент эффективной годовой ставки.</t>
        </is>
      </c>
    </row>
    <row r="25" ht="60" customHeight="1">
      <c r="A25" s="16" t="inlineStr">
        <is>
          <t>Будущая сумма</t>
        </is>
      </c>
      <c r="B25" s="11">
        <f>'Вводные'!B25*(1+B24)^'Вводные'!B27+'Вводные'!B28*IF(B24=0,'Вводные'!B27,((1+B24)^'Вводные'!B27-1)/B24)</f>
        <v>2200</v>
      </c>
      <c r="C25" s="26" t="inlineStr">
        <is>
          <t>Начальная сумма с капитализацией плюс пополнения в конце каждого месяца. Не включено в модель бизнеса.</t>
        </is>
      </c>
    </row>
    <row r="26" ht="60" customHeight="1">
      <c r="A26" s="18" t="inlineStr">
        <is>
          <t>Всего внесено</t>
        </is>
      </c>
      <c r="B26" s="12">
        <f>'Вводные'!B25+'Вводные'!B28*'Вводные'!B27</f>
        <v>2200</v>
      </c>
      <c r="C26" s="9" t="inlineStr">
        <is>
          <t>Начальная сумма + все пополнения.</t>
        </is>
      </c>
    </row>
    <row r="27" ht="60" customHeight="1">
      <c r="A27" s="16" t="inlineStr">
        <is>
          <t>Начислено процентов</t>
        </is>
      </c>
      <c r="B27" s="11">
        <f>B25-B26</f>
        <v>0</v>
      </c>
      <c r="C27" s="26" t="inlineStr">
        <is>
          <t>Будущая сумма − внесённые средства.</t>
        </is>
      </c>
    </row>
    <row r="30" ht="35" customHeight="1">
      <c r="A30" s="9" t="inlineStr">
        <is>
          <t>NPV: https://corporatefinanceinstitute.com/resources/valuation/net-present-value-npv/</t>
        </is>
      </c>
      <c r="B30" s="9"/>
      <c r="C30" s="9"/>
    </row>
    <row r="31" ht="35" customHeight="1">
      <c r="A31" s="8" t="inlineStr">
        <is>
          <t>IRR: https://corporatefinanceinstitute.com/resources/valuation/internal-rate-return-irr/</t>
        </is>
      </c>
      <c r="B31" s="8"/>
      <c r="C31" s="8"/>
    </row>
    <row r="34" ht="35" customHeight="1">
      <c r="A34" s="7" t="inlineStr">
        <is>
          <t>Потоки и проверка окупаемости</t>
        </is>
      </c>
      <c r="B34" s="7" t="inlineStr">
        <is>
          <t>М0</t>
        </is>
      </c>
      <c r="C34" s="7" t="inlineStr">
        <is>
          <t>М1</t>
        </is>
      </c>
      <c r="D34" s="7" t="inlineStr">
        <is>
          <t>М2</t>
        </is>
      </c>
      <c r="E34" s="7" t="inlineStr">
        <is>
          <t>М3</t>
        </is>
      </c>
      <c r="F34" s="7" t="inlineStr">
        <is>
          <t>М4</t>
        </is>
      </c>
      <c r="G34" s="7" t="inlineStr">
        <is>
          <t>М5</t>
        </is>
      </c>
      <c r="H34" s="7" t="inlineStr">
        <is>
          <t>М6</t>
        </is>
      </c>
      <c r="I34" s="7" t="inlineStr">
        <is>
          <t>М7</t>
        </is>
      </c>
      <c r="J34" s="7" t="inlineStr">
        <is>
          <t>М8</t>
        </is>
      </c>
      <c r="K34" s="7" t="inlineStr">
        <is>
          <t>М9</t>
        </is>
      </c>
      <c r="L34" s="7" t="inlineStr">
        <is>
          <t>М10</t>
        </is>
      </c>
      <c r="M34" s="7" t="inlineStr">
        <is>
          <t>М11</t>
        </is>
      </c>
      <c r="N34" s="7" t="inlineStr">
        <is>
          <t>М12</t>
        </is>
      </c>
    </row>
    <row r="35" ht="35" customHeight="1">
      <c r="A35" s="8" t="inlineStr">
        <is>
          <t>Свободный денежный поток</t>
        </is>
      </c>
      <c r="B35" s="10">
        <f>-'Вводные'!B12</f>
        <v>-100</v>
      </c>
      <c r="C35" s="10">
        <f>'Модель'!B40</f>
        <v>0</v>
      </c>
      <c r="D35" s="10">
        <f>'Модель'!C40</f>
        <v>0</v>
      </c>
      <c r="E35" s="10">
        <f>'Модель'!D40</f>
        <v>0</v>
      </c>
      <c r="F35" s="10">
        <f>'Модель'!E40</f>
        <v>0</v>
      </c>
      <c r="G35" s="10">
        <f>'Модель'!F40</f>
        <v>0</v>
      </c>
      <c r="H35" s="10">
        <f>'Модель'!G40</f>
        <v>0</v>
      </c>
      <c r="I35" s="10">
        <f>'Модель'!H40</f>
        <v>0</v>
      </c>
      <c r="J35" s="10">
        <f>'Модель'!I40</f>
        <v>0</v>
      </c>
      <c r="K35" s="10">
        <f>'Модель'!J40</f>
        <v>0</v>
      </c>
      <c r="L35" s="10">
        <f>'Модель'!K40</f>
        <v>0</v>
      </c>
      <c r="M35" s="10">
        <f>'Модель'!L40</f>
        <v>0</v>
      </c>
      <c r="N35" s="10">
        <f>'Модель'!M40</f>
        <v>110</v>
      </c>
    </row>
    <row r="36" ht="35" customHeight="1">
      <c r="A36" s="9" t="inlineStr">
        <is>
          <t>Дисконтированный поток</t>
        </is>
      </c>
      <c r="B36" s="12">
        <f>B35/(1+$B$20)^0</f>
        <v>-100</v>
      </c>
      <c r="C36" s="12">
        <f>C35/(1+$B$20)^1</f>
        <v>0</v>
      </c>
      <c r="D36" s="12">
        <f>D35/(1+$B$20)^2</f>
        <v>0</v>
      </c>
      <c r="E36" s="12">
        <f>E35/(1+$B$20)^3</f>
        <v>0</v>
      </c>
      <c r="F36" s="12">
        <f>F35/(1+$B$20)^4</f>
        <v>0</v>
      </c>
      <c r="G36" s="12">
        <f>G35/(1+$B$20)^5</f>
        <v>0</v>
      </c>
      <c r="H36" s="12">
        <f>H35/(1+$B$20)^6</f>
        <v>0</v>
      </c>
      <c r="I36" s="12">
        <f>I35/(1+$B$20)^7</f>
        <v>0</v>
      </c>
      <c r="J36" s="12">
        <f>J35/(1+$B$20)^8</f>
        <v>0</v>
      </c>
      <c r="K36" s="12">
        <f>K35/(1+$B$20)^9</f>
        <v>0</v>
      </c>
      <c r="L36" s="12">
        <f>L35/(1+$B$20)^10</f>
        <v>0</v>
      </c>
      <c r="M36" s="12">
        <f>M35/(1+$B$20)^11</f>
        <v>0</v>
      </c>
      <c r="N36" s="12">
        <f>N35/(1+$B$20)^12</f>
        <v>99.99999999999997</v>
      </c>
    </row>
    <row r="37" ht="35" customHeight="1">
      <c r="A37" s="8" t="inlineStr">
        <is>
          <t>Поток накопленно</t>
        </is>
      </c>
      <c r="B37" s="27">
        <f>B35</f>
        <v>-100</v>
      </c>
      <c r="C37" s="27">
        <f>B37+C35</f>
        <v>-100</v>
      </c>
      <c r="D37" s="27">
        <f>C37+D35</f>
        <v>-100</v>
      </c>
      <c r="E37" s="27">
        <f>D37+E35</f>
        <v>-100</v>
      </c>
      <c r="F37" s="27">
        <f>E37+F35</f>
        <v>-100</v>
      </c>
      <c r="G37" s="27">
        <f>F37+G35</f>
        <v>-100</v>
      </c>
      <c r="H37" s="27">
        <f>G37+H35</f>
        <v>-100</v>
      </c>
      <c r="I37" s="27">
        <f>H37+I35</f>
        <v>-100</v>
      </c>
      <c r="J37" s="27">
        <f>I37+J35</f>
        <v>-100</v>
      </c>
      <c r="K37" s="27">
        <f>J37+K35</f>
        <v>-100</v>
      </c>
      <c r="L37" s="27">
        <f>K37+L35</f>
        <v>-100</v>
      </c>
      <c r="M37" s="27">
        <f>L37+M35</f>
        <v>-100</v>
      </c>
      <c r="N37" s="27">
        <f>M37+N35</f>
        <v>10</v>
      </c>
    </row>
    <row r="38" ht="35" customHeight="1">
      <c r="A38" s="9" t="inlineStr">
        <is>
          <t>Дисконтированный накопленно</t>
        </is>
      </c>
      <c r="B38" s="23">
        <f>B36</f>
        <v>-100</v>
      </c>
      <c r="C38" s="23">
        <f>B38+C36</f>
        <v>-100</v>
      </c>
      <c r="D38" s="23">
        <f>C38+D36</f>
        <v>-100</v>
      </c>
      <c r="E38" s="23">
        <f>D38+E36</f>
        <v>-100</v>
      </c>
      <c r="F38" s="23">
        <f>E38+F36</f>
        <v>-100</v>
      </c>
      <c r="G38" s="23">
        <f>F38+G36</f>
        <v>-100</v>
      </c>
      <c r="H38" s="23">
        <f>G38+H36</f>
        <v>-100</v>
      </c>
      <c r="I38" s="23">
        <f>H38+I36</f>
        <v>-100</v>
      </c>
      <c r="J38" s="23">
        <f>I38+J36</f>
        <v>-100</v>
      </c>
      <c r="K38" s="23">
        <f>J38+K36</f>
        <v>-100</v>
      </c>
      <c r="L38" s="23">
        <f>K38+L36</f>
        <v>-100</v>
      </c>
      <c r="M38" s="23">
        <f>L38+M36</f>
        <v>-100</v>
      </c>
      <c r="N38" s="23">
        <f>M38+N36</f>
        <v>-2.842170943040401e-14</v>
      </c>
    </row>
    <row r="39" ht="35" customHeight="1">
      <c r="A39" s="8" t="inlineStr">
        <is>
          <t>Последний ненулевой знак</t>
        </is>
      </c>
      <c r="B39" s="27">
        <f>SIGN(B35)</f>
        <v>-1</v>
      </c>
      <c r="C39" s="27">
        <f>IF(C35=0,B39,SIGN(C35))</f>
        <v>-1</v>
      </c>
      <c r="D39" s="27">
        <f>IF(D35=0,C39,SIGN(D35))</f>
        <v>-1</v>
      </c>
      <c r="E39" s="27">
        <f>IF(E35=0,D39,SIGN(E35))</f>
        <v>-1</v>
      </c>
      <c r="F39" s="27">
        <f>IF(F35=0,E39,SIGN(F35))</f>
        <v>-1</v>
      </c>
      <c r="G39" s="27">
        <f>IF(G35=0,F39,SIGN(G35))</f>
        <v>-1</v>
      </c>
      <c r="H39" s="27">
        <f>IF(H35=0,G39,SIGN(H35))</f>
        <v>-1</v>
      </c>
      <c r="I39" s="27">
        <f>IF(I35=0,H39,SIGN(I35))</f>
        <v>-1</v>
      </c>
      <c r="J39" s="27">
        <f>IF(J35=0,I39,SIGN(J35))</f>
        <v>-1</v>
      </c>
      <c r="K39" s="27">
        <f>IF(K35=0,J39,SIGN(K35))</f>
        <v>-1</v>
      </c>
      <c r="L39" s="27">
        <f>IF(L35=0,K39,SIGN(L35))</f>
        <v>-1</v>
      </c>
      <c r="M39" s="27">
        <f>IF(M35=0,L39,SIGN(M35))</f>
        <v>-1</v>
      </c>
      <c r="N39" s="27">
        <f>IF(N35=0,M39,SIGN(N35))</f>
        <v>1</v>
      </c>
    </row>
    <row r="40" ht="35" customHeight="1">
      <c r="A40" s="9" t="inlineStr">
        <is>
          <t>Смена знака</t>
        </is>
      </c>
      <c r="B40" s="23">
        <f>0</f>
        <v>0</v>
      </c>
      <c r="C40" s="23">
        <f>IF(AND(B39&lt;&gt;0,C35&lt;&gt;0,B39&lt;&gt;SIGN(C35)),1,0)</f>
        <v>0</v>
      </c>
      <c r="D40" s="23">
        <f>IF(AND(C39&lt;&gt;0,D35&lt;&gt;0,C39&lt;&gt;SIGN(D35)),1,0)</f>
        <v>0</v>
      </c>
      <c r="E40" s="23">
        <f>IF(AND(D39&lt;&gt;0,E35&lt;&gt;0,D39&lt;&gt;SIGN(E35)),1,0)</f>
        <v>0</v>
      </c>
      <c r="F40" s="23">
        <f>IF(AND(E39&lt;&gt;0,F35&lt;&gt;0,E39&lt;&gt;SIGN(F35)),1,0)</f>
        <v>0</v>
      </c>
      <c r="G40" s="23">
        <f>IF(AND(F39&lt;&gt;0,G35&lt;&gt;0,F39&lt;&gt;SIGN(G35)),1,0)</f>
        <v>0</v>
      </c>
      <c r="H40" s="23">
        <f>IF(AND(G39&lt;&gt;0,H35&lt;&gt;0,G39&lt;&gt;SIGN(H35)),1,0)</f>
        <v>0</v>
      </c>
      <c r="I40" s="23">
        <f>IF(AND(H39&lt;&gt;0,I35&lt;&gt;0,H39&lt;&gt;SIGN(I35)),1,0)</f>
        <v>0</v>
      </c>
      <c r="J40" s="23">
        <f>IF(AND(I39&lt;&gt;0,J35&lt;&gt;0,I39&lt;&gt;SIGN(J35)),1,0)</f>
        <v>0</v>
      </c>
      <c r="K40" s="23">
        <f>IF(AND(J39&lt;&gt;0,K35&lt;&gt;0,J39&lt;&gt;SIGN(K35)),1,0)</f>
        <v>0</v>
      </c>
      <c r="L40" s="23">
        <f>IF(AND(K39&lt;&gt;0,L35&lt;&gt;0,K39&lt;&gt;SIGN(L35)),1,0)</f>
        <v>0</v>
      </c>
      <c r="M40" s="23">
        <f>IF(AND(L39&lt;&gt;0,M35&lt;&gt;0,L39&lt;&gt;SIGN(M35)),1,0)</f>
        <v>0</v>
      </c>
      <c r="N40" s="23">
        <f>IF(AND(M39&lt;&gt;0,N35&lt;&gt;0,M39&lt;&gt;SIGN(N35)),1,0)</f>
        <v>1</v>
      </c>
    </row>
    <row r="41" ht="35" customHeight="1">
      <c r="A41" s="8" t="inlineStr">
        <is>
          <t>Кандидат срока, 1e9 = нет</t>
        </is>
      </c>
      <c r="B41" s="27">
        <f>1000000000</f>
        <v>1000000000</v>
      </c>
      <c r="C41" s="27">
        <f>IF(AND(B37&lt;0,C37&gt;=0,C35&gt;0),0-B37/C35,1000000000)</f>
        <v>1000000000</v>
      </c>
      <c r="D41" s="27">
        <f>IF(AND(C37&lt;0,D37&gt;=0,D35&gt;0),1-C37/D35,1000000000)</f>
        <v>1000000000</v>
      </c>
      <c r="E41" s="27">
        <f>IF(AND(D37&lt;0,E37&gt;=0,E35&gt;0),2-D37/E35,1000000000)</f>
        <v>1000000000</v>
      </c>
      <c r="F41" s="27">
        <f>IF(AND(E37&lt;0,F37&gt;=0,F35&gt;0),3-E37/F35,1000000000)</f>
        <v>1000000000</v>
      </c>
      <c r="G41" s="27">
        <f>IF(AND(F37&lt;0,G37&gt;=0,G35&gt;0),4-F37/G35,1000000000)</f>
        <v>1000000000</v>
      </c>
      <c r="H41" s="27">
        <f>IF(AND(G37&lt;0,H37&gt;=0,H35&gt;0),5-G37/H35,1000000000)</f>
        <v>1000000000</v>
      </c>
      <c r="I41" s="27">
        <f>IF(AND(H37&lt;0,I37&gt;=0,I35&gt;0),6-H37/I35,1000000000)</f>
        <v>1000000000</v>
      </c>
      <c r="J41" s="27">
        <f>IF(AND(I37&lt;0,J37&gt;=0,J35&gt;0),7-I37/J35,1000000000)</f>
        <v>1000000000</v>
      </c>
      <c r="K41" s="27">
        <f>IF(AND(J37&lt;0,K37&gt;=0,K35&gt;0),8-J37/K35,1000000000)</f>
        <v>1000000000</v>
      </c>
      <c r="L41" s="27">
        <f>IF(AND(K37&lt;0,L37&gt;=0,L35&gt;0),9-K37/L35,1000000000)</f>
        <v>1000000000</v>
      </c>
      <c r="M41" s="27">
        <f>IF(AND(L37&lt;0,M37&gt;=0,M35&gt;0),10-L37/M35,1000000000)</f>
        <v>1000000000</v>
      </c>
      <c r="N41" s="27">
        <f>IF(AND(M37&lt;0,N37&gt;=0,N35&gt;0),11-M37/N35,1000000000)</f>
        <v>11.909090909090908</v>
      </c>
    </row>
    <row r="42" ht="35" customHeight="1">
      <c r="A42" s="9" t="inlineStr">
        <is>
          <t>Дисконт. кандидат, 1e9 = нет</t>
        </is>
      </c>
      <c r="B42" s="23">
        <f>1000000000</f>
        <v>1000000000</v>
      </c>
      <c r="C42" s="23">
        <f>IF(AND(B38&lt;0,C38&gt;=0,C36&gt;0),0-B38/C36,1000000000)</f>
        <v>1000000000</v>
      </c>
      <c r="D42" s="23">
        <f>IF(AND(C38&lt;0,D38&gt;=0,D36&gt;0),1-C38/D36,1000000000)</f>
        <v>1000000000</v>
      </c>
      <c r="E42" s="23">
        <f>IF(AND(D38&lt;0,E38&gt;=0,E36&gt;0),2-D38/E36,1000000000)</f>
        <v>1000000000</v>
      </c>
      <c r="F42" s="23">
        <f>IF(AND(E38&lt;0,F38&gt;=0,F36&gt;0),3-E38/F36,1000000000)</f>
        <v>1000000000</v>
      </c>
      <c r="G42" s="23">
        <f>IF(AND(F38&lt;0,G38&gt;=0,G36&gt;0),4-F38/G36,1000000000)</f>
        <v>1000000000</v>
      </c>
      <c r="H42" s="23">
        <f>IF(AND(G38&lt;0,H38&gt;=0,H36&gt;0),5-G38/H36,1000000000)</f>
        <v>1000000000</v>
      </c>
      <c r="I42" s="23">
        <f>IF(AND(H38&lt;0,I38&gt;=0,I36&gt;0),6-H38/I36,1000000000)</f>
        <v>1000000000</v>
      </c>
      <c r="J42" s="23">
        <f>IF(AND(I38&lt;0,J38&gt;=0,J36&gt;0),7-I38/J36,1000000000)</f>
        <v>1000000000</v>
      </c>
      <c r="K42" s="23">
        <f>IF(AND(J38&lt;0,K38&gt;=0,K36&gt;0),8-J38/K36,1000000000)</f>
        <v>1000000000</v>
      </c>
      <c r="L42" s="23">
        <f>IF(AND(K38&lt;0,L38&gt;=0,L36&gt;0),9-K38/L36,1000000000)</f>
        <v>1000000000</v>
      </c>
      <c r="M42" s="23">
        <f>IF(AND(L38&lt;0,M38&gt;=0,M36&gt;0),10-L38/M36,1000000000)</f>
        <v>1000000000</v>
      </c>
      <c r="N42" s="23">
        <f>IF(AND(M38&lt;0,N38&gt;=0,N36&gt;0),11-M38/N36,1000000000)</f>
        <v>1000000000</v>
      </c>
    </row>
  </sheetData>
  <mergeCells count="5">
    <mergeCell ref="A1:C1"/>
    <mergeCell ref="A2:C2"/>
    <mergeCell ref="A23:C23"/>
    <mergeCell ref="A30:C30"/>
    <mergeCell ref="A31:C31"/>
  </mergeCells>
</worksheet>
</file>