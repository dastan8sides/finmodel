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редит" sheetId="1" r:id="rId1"/>
  </sheets>
  <calcPr fullCalcOnLoad="1"/>
</workbook>
</file>

<file path=xl/styles.xml><?xml version="1.0" encoding="utf-8"?>
<styleSheet xmlns="http://schemas.openxmlformats.org/spreadsheetml/2006/main">
  <fonts count="2"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6FA"/>
      </patternFill>
    </fill>
  </fills>
  <borders count="1"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</border>
  </borders>
  <cellStyleXfs count="1">
    <xf/>
  </cellStyleXfs>
  <cellXfs count="5">
    <xf numFmtId="4" fontId="0" fillId="0" borderId="0" xfId="0" applyNumberFormat="1" applyFill="1" applyBorder="1"/>
    <xf numFmtId="0" fontId="1" fillId="2" borderId="0" xfId="0" applyNumberFormat="1" applyFill="1" applyBorder="1"/>
    <xf numFmtId="4" fontId="0" fillId="3" borderId="0" xfId="0" applyNumberFormat="1" applyFill="1" applyBorder="1"/>
    <xf numFmtId="4" fontId="0" fillId="4" borderId="0" xfId="0" applyNumberFormat="1" applyFill="1" applyBorder="1"/>
    <xf numFmtId="4" fontId="0" fillId="5" borderId="0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9" topLeftCell="A10" activePane="bottomLeft" state="frozen"/>
    </sheetView>
  </sheetViews>
  <cols>
    <col min="1" max="1" width="30" customWidth="1"/>
    <col min="2" max="6" width="23" customWidth="1"/>
  </cols>
  <sheetData>
    <row r="1" ht="24" customHeight="1">
      <c r="A1" s="1" t="inlineStr">
        <is>
          <t>Кредитный калькулятор · KZT</t>
        </is>
      </c>
    </row>
    <row r="2" ht="24" customHeight="1">
      <c r="A2" s="0" t="inlineStr">
        <is>
          <t>Сумма кредита</t>
        </is>
      </c>
      <c r="B2" s="2">
        <v>120000</v>
      </c>
    </row>
    <row r="3" ht="24" customHeight="1">
      <c r="A3" s="0" t="inlineStr">
        <is>
          <t>Годовая ставка, %</t>
        </is>
      </c>
      <c r="B3" s="2">
        <v>12</v>
      </c>
    </row>
    <row r="4" ht="24" customHeight="1">
      <c r="A4" s="0" t="inlineStr">
        <is>
          <t>Срок, месяцев</t>
        </is>
      </c>
      <c r="B4" s="2">
        <v>12</v>
      </c>
    </row>
    <row r="5" ht="24" customHeight="1">
      <c r="A5" s="0" t="inlineStr">
        <is>
          <t>Регулярный платёж</t>
        </is>
      </c>
      <c r="B5" s="0">
        <f>ROUND(IF(B3=0,B2/B4,B2*(B3/1200)/(1-(1+B3/1200)^(-B4))),2)</f>
        <v>10661.85</v>
      </c>
    </row>
    <row r="6" ht="24" customHeight="1">
      <c r="A6" s="0" t="inlineStr">
        <is>
          <t>Всего выплат</t>
        </is>
      </c>
      <c r="B6" s="3">
        <f>SUM(C10:C21)</f>
        <v>127942.26</v>
      </c>
    </row>
    <row r="7" ht="24" customHeight="1">
      <c r="A7" s="0" t="inlineStr">
        <is>
          <t>Проценты</t>
        </is>
      </c>
      <c r="B7" s="3">
        <f>SUM(D10:D21)</f>
        <v>7942.26</v>
      </c>
    </row>
    <row r="8" ht="24" customHeight="1">
      <c r="A8" s="0" t="inlineStr">
        <is>
          <t>График фиксирован по сроку при выгрузке. Если меняете срок, скачайте график заново.</t>
        </is>
      </c>
    </row>
    <row r="9" ht="24" customHeight="1">
      <c r="A9" s="1" t="inlineStr">
        <is>
          <t>Месяц</t>
        </is>
      </c>
      <c r="B9" s="1" t="inlineStr">
        <is>
          <t>Долг на начало</t>
        </is>
      </c>
      <c r="C9" s="1" t="inlineStr">
        <is>
          <t>Платёж</t>
        </is>
      </c>
      <c r="D9" s="1" t="inlineStr">
        <is>
          <t>Проценты</t>
        </is>
      </c>
      <c r="E9" s="1" t="inlineStr">
        <is>
          <t>Основной долг</t>
        </is>
      </c>
      <c r="F9" s="1" t="inlineStr">
        <is>
          <t>Остаток</t>
        </is>
      </c>
    </row>
    <row r="10" ht="24" customHeight="1">
      <c r="A10" s="0">
        <v>1</v>
      </c>
      <c r="B10" s="0">
        <f>ROUND($B$2,2)</f>
        <v>120000</v>
      </c>
      <c r="C10" s="0">
        <f>MIN($B$5,ROUND(B10+D10,2))</f>
        <v>10661.85</v>
      </c>
      <c r="D10" s="0">
        <f>ROUND(B10*$B$3/1200,2)</f>
        <v>1200</v>
      </c>
      <c r="E10" s="0">
        <f>ROUND(C10-D10,2)</f>
        <v>9461.85</v>
      </c>
      <c r="F10" s="0">
        <f>ROUND(B10-E10,2)</f>
        <v>110538.15</v>
      </c>
    </row>
    <row r="11" ht="24" customHeight="1">
      <c r="A11" s="4">
        <v>2</v>
      </c>
      <c r="B11" s="4">
        <f>F10</f>
        <v>110538.15</v>
      </c>
      <c r="C11" s="4">
        <f>MIN($B$5,ROUND(B11+D11,2))</f>
        <v>10661.85</v>
      </c>
      <c r="D11" s="4">
        <f>ROUND(B11*$B$3/1200,2)</f>
        <v>1105.38</v>
      </c>
      <c r="E11" s="4">
        <f>ROUND(C11-D11,2)</f>
        <v>9556.47</v>
      </c>
      <c r="F11" s="4">
        <f>ROUND(B11-E11,2)</f>
        <v>100981.68</v>
      </c>
    </row>
    <row r="12" ht="24" customHeight="1">
      <c r="A12" s="0">
        <v>3</v>
      </c>
      <c r="B12" s="0">
        <f>F11</f>
        <v>100981.68</v>
      </c>
      <c r="C12" s="0">
        <f>MIN($B$5,ROUND(B12+D12,2))</f>
        <v>10661.85</v>
      </c>
      <c r="D12" s="0">
        <f>ROUND(B12*$B$3/1200,2)</f>
        <v>1009.82</v>
      </c>
      <c r="E12" s="0">
        <f>ROUND(C12-D12,2)</f>
        <v>9652.03</v>
      </c>
      <c r="F12" s="0">
        <f>ROUND(B12-E12,2)</f>
        <v>91329.65</v>
      </c>
    </row>
    <row r="13" ht="24" customHeight="1">
      <c r="A13" s="4">
        <v>4</v>
      </c>
      <c r="B13" s="4">
        <f>F12</f>
        <v>91329.65</v>
      </c>
      <c r="C13" s="4">
        <f>MIN($B$5,ROUND(B13+D13,2))</f>
        <v>10661.85</v>
      </c>
      <c r="D13" s="4">
        <f>ROUND(B13*$B$3/1200,2)</f>
        <v>913.3</v>
      </c>
      <c r="E13" s="4">
        <f>ROUND(C13-D13,2)</f>
        <v>9748.55</v>
      </c>
      <c r="F13" s="4">
        <f>ROUND(B13-E13,2)</f>
        <v>81581.1</v>
      </c>
    </row>
    <row r="14" ht="24" customHeight="1">
      <c r="A14" s="0">
        <v>5</v>
      </c>
      <c r="B14" s="0">
        <f>F13</f>
        <v>81581.1</v>
      </c>
      <c r="C14" s="0">
        <f>MIN($B$5,ROUND(B14+D14,2))</f>
        <v>10661.85</v>
      </c>
      <c r="D14" s="0">
        <f>ROUND(B14*$B$3/1200,2)</f>
        <v>815.81</v>
      </c>
      <c r="E14" s="0">
        <f>ROUND(C14-D14,2)</f>
        <v>9846.04</v>
      </c>
      <c r="F14" s="0">
        <f>ROUND(B14-E14,2)</f>
        <v>71735.06</v>
      </c>
    </row>
    <row r="15" ht="24" customHeight="1">
      <c r="A15" s="4">
        <v>6</v>
      </c>
      <c r="B15" s="4">
        <f>F14</f>
        <v>71735.06</v>
      </c>
      <c r="C15" s="4">
        <f>MIN($B$5,ROUND(B15+D15,2))</f>
        <v>10661.85</v>
      </c>
      <c r="D15" s="4">
        <f>ROUND(B15*$B$3/1200,2)</f>
        <v>717.35</v>
      </c>
      <c r="E15" s="4">
        <f>ROUND(C15-D15,2)</f>
        <v>9944.5</v>
      </c>
      <c r="F15" s="4">
        <f>ROUND(B15-E15,2)</f>
        <v>61790.56</v>
      </c>
    </row>
    <row r="16" ht="24" customHeight="1">
      <c r="A16" s="0">
        <v>7</v>
      </c>
      <c r="B16" s="0">
        <f>F15</f>
        <v>61790.56</v>
      </c>
      <c r="C16" s="0">
        <f>MIN($B$5,ROUND(B16+D16,2))</f>
        <v>10661.85</v>
      </c>
      <c r="D16" s="0">
        <f>ROUND(B16*$B$3/1200,2)</f>
        <v>617.91</v>
      </c>
      <c r="E16" s="0">
        <f>ROUND(C16-D16,2)</f>
        <v>10043.94</v>
      </c>
      <c r="F16" s="0">
        <f>ROUND(B16-E16,2)</f>
        <v>51746.62</v>
      </c>
    </row>
    <row r="17" ht="24" customHeight="1">
      <c r="A17" s="4">
        <v>8</v>
      </c>
      <c r="B17" s="4">
        <f>F16</f>
        <v>51746.62</v>
      </c>
      <c r="C17" s="4">
        <f>MIN($B$5,ROUND(B17+D17,2))</f>
        <v>10661.85</v>
      </c>
      <c r="D17" s="4">
        <f>ROUND(B17*$B$3/1200,2)</f>
        <v>517.47</v>
      </c>
      <c r="E17" s="4">
        <f>ROUND(C17-D17,2)</f>
        <v>10144.38</v>
      </c>
      <c r="F17" s="4">
        <f>ROUND(B17-E17,2)</f>
        <v>41602.24</v>
      </c>
    </row>
    <row r="18" ht="24" customHeight="1">
      <c r="A18" s="0">
        <v>9</v>
      </c>
      <c r="B18" s="0">
        <f>F17</f>
        <v>41602.24</v>
      </c>
      <c r="C18" s="0">
        <f>MIN($B$5,ROUND(B18+D18,2))</f>
        <v>10661.85</v>
      </c>
      <c r="D18" s="0">
        <f>ROUND(B18*$B$3/1200,2)</f>
        <v>416.02</v>
      </c>
      <c r="E18" s="0">
        <f>ROUND(C18-D18,2)</f>
        <v>10245.83</v>
      </c>
      <c r="F18" s="0">
        <f>ROUND(B18-E18,2)</f>
        <v>31356.41</v>
      </c>
    </row>
    <row r="19" ht="24" customHeight="1">
      <c r="A19" s="4">
        <v>10</v>
      </c>
      <c r="B19" s="4">
        <f>F18</f>
        <v>31356.41</v>
      </c>
      <c r="C19" s="4">
        <f>MIN($B$5,ROUND(B19+D19,2))</f>
        <v>10661.85</v>
      </c>
      <c r="D19" s="4">
        <f>ROUND(B19*$B$3/1200,2)</f>
        <v>313.56</v>
      </c>
      <c r="E19" s="4">
        <f>ROUND(C19-D19,2)</f>
        <v>10348.29</v>
      </c>
      <c r="F19" s="4">
        <f>ROUND(B19-E19,2)</f>
        <v>21008.12</v>
      </c>
    </row>
    <row r="20" ht="24" customHeight="1">
      <c r="A20" s="0">
        <v>11</v>
      </c>
      <c r="B20" s="0">
        <f>F19</f>
        <v>21008.12</v>
      </c>
      <c r="C20" s="0">
        <f>MIN($B$5,ROUND(B20+D20,2))</f>
        <v>10661.85</v>
      </c>
      <c r="D20" s="0">
        <f>ROUND(B20*$B$3/1200,2)</f>
        <v>210.08</v>
      </c>
      <c r="E20" s="0">
        <f>ROUND(C20-D20,2)</f>
        <v>10451.77</v>
      </c>
      <c r="F20" s="0">
        <f>ROUND(B20-E20,2)</f>
        <v>10556.35</v>
      </c>
    </row>
    <row r="21" ht="24" customHeight="1">
      <c r="A21" s="4">
        <v>12</v>
      </c>
      <c r="B21" s="4">
        <f>F20</f>
        <v>10556.35</v>
      </c>
      <c r="C21" s="4">
        <f>ROUND(B21+D21,2)</f>
        <v>10661.91</v>
      </c>
      <c r="D21" s="4">
        <f>ROUND(B21*$B$3/1200,2)</f>
        <v>105.56</v>
      </c>
      <c r="E21" s="4">
        <f>ROUND(C21-D21,2)</f>
        <v>10556.35</v>
      </c>
      <c r="F21" s="4">
        <f>ROUND(B21-E21,2)</f>
        <v>0</v>
      </c>
    </row>
  </sheetData>
  <mergeCells count="2">
    <mergeCell ref="A1:F1"/>
    <mergeCell ref="A8:F8"/>
  </mergeCells>
</worksheet>
</file>