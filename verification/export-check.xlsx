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Финансовая модель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;(#,##0);&quot;—&quot;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2020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vertical="center"/>
    </xf>
    <xf numFmtId="164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20" topLeftCell="A21" activePane="bottomLeft" state="frozen"/>
    </sheetView>
  </sheetViews>
  <cols>
    <col min="1" max="1" width="34" customWidth="1"/>
    <col min="2" max="8" width="19" customWidth="1"/>
    <col min="9" max="9" width="26" customWidth="1"/>
  </cols>
  <sheetData>
    <row r="1" ht="34" customHeight="1">
      <c r="A1" s="1" t="inlineStr">
        <is>
          <t>КОНТУР / Мой бизнес</t>
        </is>
      </c>
    </row>
    <row r="2" ht="23" customHeight="1">
      <c r="A2" s="0" t="inlineStr">
        <is>
          <t>Прогноз на 12 месяцев · KZT</t>
        </is>
      </c>
    </row>
    <row r="3" ht="23" customHeight="1">
      <c r="A3" s="0" t="inlineStr">
        <is>
          <t>Сценарий: Базовый</t>
        </is>
      </c>
    </row>
    <row r="5" ht="23" customHeight="1">
      <c r="A5" s="1" t="inlineStr">
        <is>
          <t>Выручка за год</t>
        </is>
      </c>
      <c r="B5" s="2">
        <f>SUM(C21:C32)</f>
        <v>38315803.933689654</v>
      </c>
    </row>
    <row r="6" ht="23" customHeight="1">
      <c r="A6" s="1" t="inlineStr">
        <is>
          <t>Прибыль за год</t>
        </is>
      </c>
      <c r="B6" s="2">
        <f>SUM(H21:H32)</f>
        <v>10534745.301208451</v>
      </c>
    </row>
    <row r="7" ht="23" customHeight="1">
      <c r="A7" s="1" t="inlineStr">
        <is>
          <t>Поток после вложений</t>
        </is>
      </c>
      <c r="B7" s="2">
        <f>I32</f>
        <v>7534745.301208449</v>
      </c>
    </row>
    <row r="9" ht="23" customHeight="1">
      <c r="A9" s="1" t="inlineStr">
        <is>
          <t>ИСХОДНЫЕ ДАННЫЕ</t>
        </is>
      </c>
    </row>
    <row r="10" ht="23" customHeight="1">
      <c r="A10" s="0" t="inlineStr">
        <is>
          <t>Продажи / первый месяц</t>
        </is>
      </c>
      <c r="B10" s="4">
        <v>300</v>
      </c>
    </row>
    <row r="11" ht="23" customHeight="1">
      <c r="A11" s="0" t="inlineStr">
        <is>
          <t>Средний чек</t>
        </is>
      </c>
      <c r="B11" s="4">
        <v>8500</v>
      </c>
    </row>
    <row r="12" ht="23" customHeight="1">
      <c r="A12" s="0" t="inlineStr">
        <is>
          <t>Рост продаж / месяц</t>
        </is>
      </c>
      <c r="B12" s="3">
        <v>0.04</v>
      </c>
    </row>
    <row r="13" ht="23" customHeight="1">
      <c r="A13" s="0" t="inlineStr">
        <is>
          <t>Переменные / выручка</t>
        </is>
      </c>
      <c r="B13" s="3">
        <v>0.35</v>
      </c>
    </row>
    <row r="14" ht="23" customHeight="1">
      <c r="A14" s="0" t="inlineStr">
        <is>
          <t>Постоянные / месяц</t>
        </is>
      </c>
      <c r="B14" s="4">
        <v>1100000</v>
      </c>
    </row>
    <row r="15" ht="23" customHeight="1">
      <c r="A15" s="0" t="inlineStr">
        <is>
          <t>Условный налог / прибыль</t>
        </is>
      </c>
      <c r="B15" s="3">
        <v>0.1</v>
      </c>
    </row>
    <row r="16" ht="23" customHeight="1">
      <c r="A16" s="0" t="inlineStr">
        <is>
          <t>Первоначальные вложения</t>
        </is>
      </c>
      <c r="B16" s="4">
        <v>3000000</v>
      </c>
    </row>
    <row r="17" ht="23" customHeight="1">
      <c r="A17" s="0" t="inlineStr">
        <is>
          <t>Множитель продаж</t>
        </is>
      </c>
      <c r="B17" s="4">
        <v>1</v>
      </c>
    </row>
    <row r="19" ht="23" customHeight="1">
      <c r="A19" s="1" t="inlineStr">
        <is>
          <t>ПОМЕСЯЧНЫЙ ПРОГНОЗ</t>
        </is>
      </c>
    </row>
    <row r="20" ht="30" customHeight="1">
      <c r="A20" s="1" t="inlineStr">
        <is>
          <t>Месяц</t>
        </is>
      </c>
      <c r="B20" s="1" t="inlineStr">
        <is>
          <t>Продажи, шт.</t>
        </is>
      </c>
      <c r="C20" s="1" t="inlineStr">
        <is>
          <t>Выручка</t>
        </is>
      </c>
      <c r="D20" s="1" t="inlineStr">
        <is>
          <t>Переменные</t>
        </is>
      </c>
      <c r="E20" s="1" t="inlineStr">
        <is>
          <t>Постоянные</t>
        </is>
      </c>
      <c r="F20" s="1" t="inlineStr">
        <is>
          <t>До налога</t>
        </is>
      </c>
      <c r="G20" s="1" t="inlineStr">
        <is>
          <t>Налог</t>
        </is>
      </c>
      <c r="H20" s="1" t="inlineStr">
        <is>
          <t>Прибыль</t>
        </is>
      </c>
      <c r="I20" s="1" t="inlineStr">
        <is>
          <t>Накопленный поток</t>
        </is>
      </c>
    </row>
    <row r="21" ht="23" customHeight="1">
      <c r="A21" s="2">
        <v>1</v>
      </c>
      <c r="B21" s="2">
        <f>$B$10*$B$17*(1+$B$12)^(A21-1)</f>
        <v>300</v>
      </c>
      <c r="C21" s="2">
        <f>B21*$B$11</f>
        <v>2550000</v>
      </c>
      <c r="D21" s="2">
        <f>C21*$B$13</f>
        <v>892500</v>
      </c>
      <c r="E21" s="2">
        <f>$B$14</f>
        <v>1100000</v>
      </c>
      <c r="F21" s="2">
        <f>C21-D21-E21</f>
        <v>557500</v>
      </c>
      <c r="G21" s="2">
        <f>MAX(0,F21)*$B$15</f>
        <v>55750</v>
      </c>
      <c r="H21" s="2">
        <f>F21-G21</f>
        <v>501750</v>
      </c>
      <c r="I21" s="2">
        <f>H21-$B$16</f>
        <v>-2498250</v>
      </c>
    </row>
    <row r="22" ht="23" customHeight="1">
      <c r="A22" s="2">
        <v>2</v>
      </c>
      <c r="B22" s="2">
        <f>$B$10*$B$17*(1+$B$12)^(A22-1)</f>
        <v>312</v>
      </c>
      <c r="C22" s="2">
        <f>B22*$B$11</f>
        <v>2652000</v>
      </c>
      <c r="D22" s="2">
        <f>C22*$B$13</f>
        <v>928200</v>
      </c>
      <c r="E22" s="2">
        <f>$B$14</f>
        <v>1100000</v>
      </c>
      <c r="F22" s="2">
        <f>C22-D22-E22</f>
        <v>623800</v>
      </c>
      <c r="G22" s="2">
        <f>MAX(0,F22)*$B$15</f>
        <v>62380</v>
      </c>
      <c r="H22" s="2">
        <f>F22-G22</f>
        <v>561420</v>
      </c>
      <c r="I22" s="2">
        <f>I21+H22</f>
        <v>-1936830</v>
      </c>
    </row>
    <row r="23" ht="23" customHeight="1">
      <c r="A23" s="2">
        <v>3</v>
      </c>
      <c r="B23" s="2">
        <f>$B$10*$B$17*(1+$B$12)^(A23-1)</f>
        <v>324.48</v>
      </c>
      <c r="C23" s="2">
        <f>B23*$B$11</f>
        <v>2758080</v>
      </c>
      <c r="D23" s="2">
        <f>C23*$B$13</f>
        <v>965328</v>
      </c>
      <c r="E23" s="2">
        <f>$B$14</f>
        <v>1100000</v>
      </c>
      <c r="F23" s="2">
        <f>C23-D23-E23</f>
        <v>692752</v>
      </c>
      <c r="G23" s="2">
        <f>MAX(0,F23)*$B$15</f>
        <v>69275.2</v>
      </c>
      <c r="H23" s="2">
        <f>F23-G23</f>
        <v>623476.8</v>
      </c>
      <c r="I23" s="2">
        <f>I22+H23</f>
        <v>-1313353.2</v>
      </c>
    </row>
    <row r="24" ht="23" customHeight="1">
      <c r="A24" s="2">
        <v>4</v>
      </c>
      <c r="B24" s="2">
        <f>$B$10*$B$17*(1+$B$12)^(A24-1)</f>
        <v>337.4592</v>
      </c>
      <c r="C24" s="2">
        <f>B24*$B$11</f>
        <v>2868403.2</v>
      </c>
      <c r="D24" s="2">
        <f>C24*$B$13</f>
        <v>1003941.12</v>
      </c>
      <c r="E24" s="2">
        <f>$B$14</f>
        <v>1100000</v>
      </c>
      <c r="F24" s="2">
        <f>C24-D24-E24</f>
        <v>764462.0800000001</v>
      </c>
      <c r="G24" s="2">
        <f>MAX(0,F24)*$B$15</f>
        <v>76446.20800000001</v>
      </c>
      <c r="H24" s="2">
        <f>F24-G24</f>
        <v>688015.8720000001</v>
      </c>
      <c r="I24" s="2">
        <f>I23+H24</f>
        <v>-625337.3279999999</v>
      </c>
    </row>
    <row r="25" ht="23" customHeight="1">
      <c r="A25" s="2">
        <v>5</v>
      </c>
      <c r="B25" s="2">
        <f>$B$10*$B$17*(1+$B$12)^(A25-1)</f>
        <v>350.95756800000004</v>
      </c>
      <c r="C25" s="2">
        <f>B25*$B$11</f>
        <v>2983139.328</v>
      </c>
      <c r="D25" s="2">
        <f>C25*$B$13</f>
        <v>1044098.7648</v>
      </c>
      <c r="E25" s="2">
        <f>$B$14</f>
        <v>1100000</v>
      </c>
      <c r="F25" s="2">
        <f>C25-D25-E25</f>
        <v>839040.5632000002</v>
      </c>
      <c r="G25" s="2">
        <f>MAX(0,F25)*$B$15</f>
        <v>83904.05632000003</v>
      </c>
      <c r="H25" s="2">
        <f>F25-G25</f>
        <v>755136.5068800002</v>
      </c>
      <c r="I25" s="2">
        <f>I24+H25</f>
        <v>129799.17888000037</v>
      </c>
    </row>
    <row r="26" ht="23" customHeight="1">
      <c r="A26" s="2">
        <v>6</v>
      </c>
      <c r="B26" s="2">
        <f>$B$10*$B$17*(1+$B$12)^(A26-1)</f>
        <v>364.99587072</v>
      </c>
      <c r="C26" s="2">
        <f>B26*$B$11</f>
        <v>3102464.90112</v>
      </c>
      <c r="D26" s="2">
        <f>C26*$B$13</f>
        <v>1085862.715392</v>
      </c>
      <c r="E26" s="2">
        <f>$B$14</f>
        <v>1100000</v>
      </c>
      <c r="F26" s="2">
        <f>C26-D26-E26</f>
        <v>916602.185728</v>
      </c>
      <c r="G26" s="2">
        <f>MAX(0,F26)*$B$15</f>
        <v>91660.2185728</v>
      </c>
      <c r="H26" s="2">
        <f>F26-G26</f>
        <v>824941.9671552</v>
      </c>
      <c r="I26" s="2">
        <f>I25+H26</f>
        <v>954741.1460352003</v>
      </c>
    </row>
    <row r="27" ht="23" customHeight="1">
      <c r="A27" s="2">
        <v>7</v>
      </c>
      <c r="B27" s="2">
        <f>$B$10*$B$17*(1+$B$12)^(A27-1)</f>
        <v>379.5957055488001</v>
      </c>
      <c r="C27" s="2">
        <f>B27*$B$11</f>
        <v>3226563.4971648008</v>
      </c>
      <c r="D27" s="2">
        <f>C27*$B$13</f>
        <v>1129297.2240076803</v>
      </c>
      <c r="E27" s="2">
        <f>$B$14</f>
        <v>1100000</v>
      </c>
      <c r="F27" s="2">
        <f>C27-D27-E27</f>
        <v>997266.2731571207</v>
      </c>
      <c r="G27" s="2">
        <f>MAX(0,F27)*$B$15</f>
        <v>99726.62731571207</v>
      </c>
      <c r="H27" s="2">
        <f>F27-G27</f>
        <v>897539.6458414086</v>
      </c>
      <c r="I27" s="2">
        <f>I26+H27</f>
        <v>1852280.791876609</v>
      </c>
    </row>
    <row r="28" ht="23" customHeight="1">
      <c r="A28" s="2">
        <v>8</v>
      </c>
      <c r="B28" s="2">
        <f>$B$10*$B$17*(1+$B$12)^(A28-1)</f>
        <v>394.7795337707521</v>
      </c>
      <c r="C28" s="2">
        <f>B28*$B$11</f>
        <v>3355626.0370513927</v>
      </c>
      <c r="D28" s="2">
        <f>C28*$B$13</f>
        <v>1174469.1129679875</v>
      </c>
      <c r="E28" s="2">
        <f>$B$14</f>
        <v>1100000</v>
      </c>
      <c r="F28" s="2">
        <f>C28-D28-E28</f>
        <v>1081156.9240834052</v>
      </c>
      <c r="G28" s="2">
        <f>MAX(0,F28)*$B$15</f>
        <v>108115.69240834052</v>
      </c>
      <c r="H28" s="2">
        <f>F28-G28</f>
        <v>973041.2316750647</v>
      </c>
      <c r="I28" s="2">
        <f>I27+H28</f>
        <v>2825322.0235516736</v>
      </c>
    </row>
    <row r="29" ht="23" customHeight="1">
      <c r="A29" s="2">
        <v>9</v>
      </c>
      <c r="B29" s="2">
        <f>$B$10*$B$17*(1+$B$12)^(A29-1)</f>
        <v>410.57071512158217</v>
      </c>
      <c r="C29" s="2">
        <f>B29*$B$11</f>
        <v>3489851.0785334483</v>
      </c>
      <c r="D29" s="2">
        <f>C29*$B$13</f>
        <v>1221447.877486707</v>
      </c>
      <c r="E29" s="2">
        <f>$B$14</f>
        <v>1100000</v>
      </c>
      <c r="F29" s="2">
        <f>C29-D29-E29</f>
        <v>1168403.2010467416</v>
      </c>
      <c r="G29" s="2">
        <f>MAX(0,F29)*$B$15</f>
        <v>116840.32010467416</v>
      </c>
      <c r="H29" s="2">
        <f>F29-G29</f>
        <v>1051562.8809420674</v>
      </c>
      <c r="I29" s="2">
        <f>I28+H29</f>
        <v>3876884.9044937408</v>
      </c>
    </row>
    <row r="30" ht="23" customHeight="1">
      <c r="A30" s="2">
        <v>10</v>
      </c>
      <c r="B30" s="2">
        <f>$B$10*$B$17*(1+$B$12)^(A30-1)</f>
        <v>426.99354372644547</v>
      </c>
      <c r="C30" s="2">
        <f>B30*$B$11</f>
        <v>3629445.1216747863</v>
      </c>
      <c r="D30" s="2">
        <f>C30*$B$13</f>
        <v>1270305.7925861753</v>
      </c>
      <c r="E30" s="2">
        <f>$B$14</f>
        <v>1100000</v>
      </c>
      <c r="F30" s="2">
        <f>C30-D30-E30</f>
        <v>1259139.329088611</v>
      </c>
      <c r="G30" s="2">
        <f>MAX(0,F30)*$B$15</f>
        <v>125913.93290886111</v>
      </c>
      <c r="H30" s="2">
        <f>F30-G30</f>
        <v>1133225.3961797499</v>
      </c>
      <c r="I30" s="2">
        <f>I29+H30</f>
        <v>5010110.30067349</v>
      </c>
    </row>
    <row r="31" ht="23" customHeight="1">
      <c r="A31" s="2">
        <v>11</v>
      </c>
      <c r="B31" s="2">
        <f>$B$10*$B$17*(1+$B$12)^(A31-1)</f>
        <v>444.0732854755033</v>
      </c>
      <c r="C31" s="2">
        <f>B31*$B$11</f>
        <v>3774622.9265417783</v>
      </c>
      <c r="D31" s="2">
        <f>C31*$B$13</f>
        <v>1321118.0242896224</v>
      </c>
      <c r="E31" s="2">
        <f>$B$14</f>
        <v>1100000</v>
      </c>
      <c r="F31" s="2">
        <f>C31-D31-E31</f>
        <v>1353504.9022521558</v>
      </c>
      <c r="G31" s="2">
        <f>MAX(0,F31)*$B$15</f>
        <v>135350.4902252156</v>
      </c>
      <c r="H31" s="2">
        <f>F31-G31</f>
        <v>1218154.4120269401</v>
      </c>
      <c r="I31" s="2">
        <f>I30+H31</f>
        <v>6228264.71270043</v>
      </c>
    </row>
    <row r="32" ht="23" customHeight="1">
      <c r="A32" s="2">
        <v>12</v>
      </c>
      <c r="B32" s="2">
        <f>$B$10*$B$17*(1+$B$12)^(A32-1)</f>
        <v>461.8362168945235</v>
      </c>
      <c r="C32" s="2">
        <f>B32*$B$11</f>
        <v>3925607.84360345</v>
      </c>
      <c r="D32" s="2">
        <f>C32*$B$13</f>
        <v>1373962.7452612075</v>
      </c>
      <c r="E32" s="2">
        <f>$B$14</f>
        <v>1100000</v>
      </c>
      <c r="F32" s="2">
        <f>C32-D32-E32</f>
        <v>1451645.0983422427</v>
      </c>
      <c r="G32" s="2">
        <f>MAX(0,F32)*$B$15</f>
        <v>145164.50983422427</v>
      </c>
      <c r="H32" s="2">
        <f>F32-G32</f>
        <v>1306480.5885080183</v>
      </c>
      <c r="I32" s="2">
        <f>I31+H32</f>
        <v>7534745.301208449</v>
      </c>
    </row>
    <row r="34" ht="23" customHeight="1">
      <c r="A34" s="1" t="inlineStr">
        <is>
          <t>ИТОГО</t>
        </is>
      </c>
      <c r="B34" s="2">
        <f>SUM(B21:B32)</f>
        <v>4507.741639257606</v>
      </c>
      <c r="C34" s="2">
        <f>SUM(C21:C32)</f>
        <v>38315803.933689654</v>
      </c>
      <c r="D34" s="2">
        <f>SUM(D21:D32)</f>
        <v>13410531.37679138</v>
      </c>
      <c r="E34" s="2">
        <f>SUM(E21:E32)</f>
        <v>13200000</v>
      </c>
      <c r="F34" s="2">
        <f>SUM(F21:F32)</f>
        <v>11705272.556898277</v>
      </c>
      <c r="G34" s="2">
        <f>SUM(G21:G32)</f>
        <v>1170527.2556898277</v>
      </c>
      <c r="H34" s="2">
        <f>SUM(H21:H32)</f>
        <v>10534745.301208451</v>
      </c>
      <c r="I34" s="2">
        <f>I32</f>
        <v>7534745.301208449</v>
      </c>
    </row>
    <row r="36" ht="23" customHeight="1">
      <c r="A36" s="0" t="inlineStr">
        <is>
          <t>Модель: продажи × средний чек. Переменные расходы — доля выручки.</t>
        </is>
      </c>
    </row>
    <row r="37" ht="23" customHeight="1">
      <c r="A37" s="0" t="inlineStr">
        <is>
          <t>Условный налог начисляется на положительную прибыль каждого месяца.</t>
        </is>
      </c>
    </row>
    <row r="38" ht="23" customHeight="1">
      <c r="A38" s="0" t="inlineStr">
        <is>
          <t>Без НДС, кредитов, амортизации и отсрочек. Вложения — перед первым месяцем.</t>
        </is>
      </c>
    </row>
    <row r="39" ht="23" customHeight="1">
      <c r="A39" s="0" t="inlineStr">
        <is>
          <t>Источник: введённые пользователем данные; при первом запуске — демонстрационные.</t>
        </is>
      </c>
    </row>
    <row r="40" ht="23" customHeight="1">
      <c r="A40" s="0" t="inlineStr">
        <is>
          <t>Сценарий меняет объём продаж. Валюта служит обозначением, без конвертации.</t>
        </is>
      </c>
    </row>
  </sheetData>
  <mergeCells count="8">
    <mergeCell ref="A1:I1"/>
    <mergeCell ref="A2:I2"/>
    <mergeCell ref="A3:I3"/>
    <mergeCell ref="A36:I36"/>
    <mergeCell ref="A37:I37"/>
    <mergeCell ref="A38:I38"/>
    <mergeCell ref="A39:I39"/>
    <mergeCell ref="A40:I40"/>
  </mergeCells>
</worksheet>
</file>