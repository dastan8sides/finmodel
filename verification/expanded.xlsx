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одель" sheetId="1" r:id="rId1"/>
    <sheet name="Вводные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(#,##0);&quot;—&quot;"/>
  </numFmts>
  <fonts count="3">
    <font>
      <sz val="12"/>
      <name val="Calibri"/>
    </font>
    <font>
      <b/>
      <sz val="12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2020"/>
        <bgColor indexed="64"/>
      </patternFill>
    </fill>
    <fill>
      <patternFill patternType="solid">
        <fgColor rgb="FFF0F0E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NumberFormat="1" applyAlignment="1">
      <alignment vertical="center" wrapText="1"/>
    </xf>
    <xf numFmtId="0" fontId="1" fillId="2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NumberFormat="1" applyAlignment="1">
      <alignment vertical="center" wrapText="1"/>
    </xf>
    <xf numFmtId="0" fontId="0" fillId="3" borderId="0" xfId="0" applyNumberForma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1" ySplit="4" topLeftCell="B5" activePane="bottomRight" state="frozen"/>
    </sheetView>
  </sheetViews>
  <cols>
    <col min="1" max="1" width="43" customWidth="1"/>
    <col min="2" max="14" width="20" customWidth="1"/>
    <col min="15" max="15" width="82" customWidth="1"/>
  </cols>
  <sheetData>
    <row r="1" ht="32" customHeight="1">
      <c r="A1" s="1" t="inlineStr">
        <is>
          <t xml:space="preserve">КОНТУР / Мой бизнес</t>
        </is>
      </c>
    </row>
    <row r="2" ht="25" customHeight="1">
      <c r="A2" s="0" t="inlineStr">
        <is>
          <t xml:space="preserve">Базовый · KZT · 12 месяцев. Потоки — сумма; остатки — на конец М12.</t>
        </is>
      </c>
    </row>
    <row r="3" ht="25" customHeight="1">
      <c r="A3" s="1" t="inlineStr">
        <is>
          <t xml:space="preserve">Чистая прибыль</t>
        </is>
      </c>
      <c r="B3" s="2">
        <f>N34</f>
        <v>6022057.744303187</v>
      </c>
      <c r="D3" s="1" t="inlineStr">
        <is>
          <t xml:space="preserve">Выручка</t>
        </is>
      </c>
      <c r="E3" s="2">
        <f>N8</f>
        <v>12000000</v>
      </c>
      <c r="G3" s="1" t="inlineStr">
        <is>
          <t xml:space="preserve">Деньги на конец</t>
        </is>
      </c>
      <c r="H3" s="2">
        <f>M42</f>
        <v>5912057.744303186</v>
      </c>
    </row>
    <row r="4" ht="30" customHeight="1">
      <c r="A4" s="1" t="inlineStr">
        <is>
          <t xml:space="preserve">Показатель</t>
        </is>
      </c>
      <c r="B4" s="1" t="inlineStr">
        <is>
          <t xml:space="preserve">М1</t>
        </is>
      </c>
      <c r="C4" s="1" t="inlineStr">
        <is>
          <t xml:space="preserve">М2</t>
        </is>
      </c>
      <c r="D4" s="1" t="inlineStr">
        <is>
          <t xml:space="preserve">М3</t>
        </is>
      </c>
      <c r="E4" s="1" t="inlineStr">
        <is>
          <t xml:space="preserve">М4</t>
        </is>
      </c>
      <c r="F4" s="1" t="inlineStr">
        <is>
          <t xml:space="preserve">М5</t>
        </is>
      </c>
      <c r="G4" s="1" t="inlineStr">
        <is>
          <t xml:space="preserve">М6</t>
        </is>
      </c>
      <c r="H4" s="1" t="inlineStr">
        <is>
          <t xml:space="preserve">М7</t>
        </is>
      </c>
      <c r="I4" s="1" t="inlineStr">
        <is>
          <t xml:space="preserve">М8</t>
        </is>
      </c>
      <c r="J4" s="1" t="inlineStr">
        <is>
          <t xml:space="preserve">М9</t>
        </is>
      </c>
      <c r="K4" s="1" t="inlineStr">
        <is>
          <t xml:space="preserve">М10</t>
        </is>
      </c>
      <c r="L4" s="1" t="inlineStr">
        <is>
          <t xml:space="preserve">М11</t>
        </is>
      </c>
      <c r="M4" s="1" t="inlineStr">
        <is>
          <t xml:space="preserve">М12</t>
        </is>
      </c>
      <c r="N4" s="1" t="inlineStr">
        <is>
          <t xml:space="preserve">Год / конец</t>
        </is>
      </c>
      <c r="O4" s="1" t="inlineStr">
        <is>
          <t xml:space="preserve">Как считается</t>
        </is>
      </c>
    </row>
    <row r="5" ht="25" customHeight="1">
      <c r="A5" s="0" t="inlineStr">
        <is>
          <t xml:space="preserve">Основной продукт · количество</t>
        </is>
      </c>
      <c r="B5" s="2">
        <f>IF(AND((1&gt;='Вводные'!$B$35),(1&lt;='Вводные'!$B$36)),(('Вводные'!$B$31*'Вводные'!$B$17)*((1+('Вводные'!$B$33/100))^MAX(0,(1-'Вводные'!$B$35)))),0)</f>
        <v>300</v>
      </c>
      <c r="C5" s="2">
        <f>IF(AND((2&gt;='Вводные'!$B$35),(2&lt;='Вводные'!$B$36)),(('Вводные'!$B$31*'Вводные'!$B$17)*((1+('Вводные'!$B$33/100))^MAX(0,(2-'Вводные'!$B$35)))),0)</f>
        <v>312</v>
      </c>
      <c r="D5" s="2">
        <f>IF(AND((3&gt;='Вводные'!$B$35),(3&lt;='Вводные'!$B$36)),(('Вводные'!$B$31*'Вводные'!$B$17)*((1+('Вводные'!$B$33/100))^MAX(0,(3-'Вводные'!$B$35)))),0)</f>
        <v>324.48</v>
      </c>
      <c r="E5" s="2">
        <f>IF(AND((4&gt;='Вводные'!$B$35),(4&lt;='Вводные'!$B$36)),(('Вводные'!$B$31*'Вводные'!$B$17)*((1+('Вводные'!$B$33/100))^MAX(0,(4-'Вводные'!$B$35)))),0)</f>
        <v>337.4592</v>
      </c>
      <c r="F5" s="2">
        <f>IF(AND((5&gt;='Вводные'!$B$35),(5&lt;='Вводные'!$B$36)),(('Вводные'!$B$31*'Вводные'!$B$17)*((1+('Вводные'!$B$33/100))^MAX(0,(5-'Вводные'!$B$35)))),0)</f>
        <v>350.95756800000004</v>
      </c>
      <c r="G5" s="2">
        <f>IF(AND((6&gt;='Вводные'!$B$35),(6&lt;='Вводные'!$B$36)),(('Вводные'!$B$31*'Вводные'!$B$17)*((1+('Вводные'!$B$33/100))^MAX(0,(6-'Вводные'!$B$35)))),0)</f>
        <v>364.99587072</v>
      </c>
      <c r="H5" s="2">
        <f>IF(AND((7&gt;='Вводные'!$B$35),(7&lt;='Вводные'!$B$36)),(('Вводные'!$B$31*'Вводные'!$B$17)*((1+('Вводные'!$B$33/100))^MAX(0,(7-'Вводные'!$B$35)))),0)</f>
        <v>379.5957055488001</v>
      </c>
      <c r="I5" s="2">
        <f>IF(AND((8&gt;='Вводные'!$B$35),(8&lt;='Вводные'!$B$36)),(('Вводные'!$B$31*'Вводные'!$B$17)*((1+('Вводные'!$B$33/100))^MAX(0,(8-'Вводные'!$B$35)))),0)</f>
        <v>394.7795337707521</v>
      </c>
      <c r="J5" s="2">
        <f>IF(AND((9&gt;='Вводные'!$B$35),(9&lt;='Вводные'!$B$36)),(('Вводные'!$B$31*'Вводные'!$B$17)*((1+('Вводные'!$B$33/100))^MAX(0,(9-'Вводные'!$B$35)))),0)</f>
        <v>410.57071512158217</v>
      </c>
      <c r="K5" s="2">
        <f>IF(AND((10&gt;='Вводные'!$B$35),(10&lt;='Вводные'!$B$36)),(('Вводные'!$B$31*'Вводные'!$B$17)*((1+('Вводные'!$B$33/100))^MAX(0,(10-'Вводные'!$B$35)))),0)</f>
        <v>426.99354372644547</v>
      </c>
      <c r="L5" s="2">
        <f>IF(AND((11&gt;='Вводные'!$B$35),(11&lt;='Вводные'!$B$36)),(('Вводные'!$B$31*'Вводные'!$B$17)*((1+('Вводные'!$B$33/100))^MAX(0,(11-'Вводные'!$B$35)))),0)</f>
        <v>444.0732854755033</v>
      </c>
      <c r="M5" s="2">
        <f>IF(AND((12&gt;='Вводные'!$B$35),(12&lt;='Вводные'!$B$36)),(('Вводные'!$B$31*'Вводные'!$B$17)*((1+('Вводные'!$B$33/100))^MAX(0,(12-'Вводные'!$B$35)))),0)</f>
        <v>461.8362168945235</v>
      </c>
      <c r="N5" s="2">
        <f>SUM(B5:M5)</f>
        <v>4507.741639257606</v>
      </c>
      <c r="O5" s="0" t="inlineStr">
        <is>
          <t xml:space="preserve">Продажи</t>
        </is>
      </c>
    </row>
    <row r="6" ht="25" customHeight="1">
      <c r="A6" s="0" t="inlineStr">
        <is>
          <t xml:space="preserve">Основной продукт · выручка</t>
        </is>
      </c>
      <c r="B6" s="2">
        <f>(B5*'Вводные'!$B$32)</f>
        <v>2550000</v>
      </c>
      <c r="C6" s="2">
        <f>(C5*'Вводные'!$B$32)</f>
        <v>2652000</v>
      </c>
      <c r="D6" s="2">
        <f>(D5*'Вводные'!$B$32)</f>
        <v>2758080</v>
      </c>
      <c r="E6" s="2">
        <f>(E5*'Вводные'!$B$32)</f>
        <v>2868403.2</v>
      </c>
      <c r="F6" s="2">
        <f>(F5*'Вводные'!$B$32)</f>
        <v>2983139.328</v>
      </c>
      <c r="G6" s="2">
        <f>(G5*'Вводные'!$B$32)</f>
        <v>3102464.90112</v>
      </c>
      <c r="H6" s="2">
        <f>(H5*'Вводные'!$B$32)</f>
        <v>3226563.4971648008</v>
      </c>
      <c r="I6" s="2">
        <f>(I5*'Вводные'!$B$32)</f>
        <v>3355626.0370513927</v>
      </c>
      <c r="J6" s="2">
        <f>(J5*'Вводные'!$B$32)</f>
        <v>3489851.0785334483</v>
      </c>
      <c r="K6" s="2">
        <f>(K5*'Вводные'!$B$32)</f>
        <v>3629445.1216747863</v>
      </c>
      <c r="L6" s="2">
        <f>(L5*'Вводные'!$B$32)</f>
        <v>3774622.9265417783</v>
      </c>
      <c r="M6" s="2">
        <f>(M5*'Вводные'!$B$32)</f>
        <v>3925607.84360345</v>
      </c>
      <c r="N6" s="2">
        <f>SUM(B6:M6)</f>
        <v>38315803.933689654</v>
      </c>
      <c r="O6" s="0" t="inlineStr">
        <is>
          <t xml:space="preserve">Продажи</t>
        </is>
      </c>
    </row>
    <row r="7" ht="25" customHeight="1">
      <c r="A7" s="0" t="inlineStr">
        <is>
          <t xml:space="preserve">Основной продукт · себестоимость</t>
        </is>
      </c>
      <c r="B7" s="2">
        <f>(B6*('Вводные'!$B$34/100))</f>
        <v>892500</v>
      </c>
      <c r="C7" s="2">
        <f>(C6*('Вводные'!$B$34/100))</f>
        <v>928199.9999999999</v>
      </c>
      <c r="D7" s="2">
        <f>(D6*('Вводные'!$B$34/100))</f>
        <v>965327.9999999999</v>
      </c>
      <c r="E7" s="2">
        <f>(E6*('Вводные'!$B$34/100))</f>
        <v>1003941.12</v>
      </c>
      <c r="F7" s="2">
        <f>(F6*('Вводные'!$B$34/100))</f>
        <v>1044098.7648</v>
      </c>
      <c r="G7" s="2">
        <f>(G6*('Вводные'!$B$34/100))</f>
        <v>1085862.715392</v>
      </c>
      <c r="H7" s="2">
        <f>(H6*('Вводные'!$B$34/100))</f>
        <v>1129297.22400768</v>
      </c>
      <c r="I7" s="2">
        <f>(I6*('Вводные'!$B$34/100))</f>
        <v>1174469.1129679873</v>
      </c>
      <c r="J7" s="2">
        <f>(J6*('Вводные'!$B$34/100))</f>
        <v>1221447.8774867067</v>
      </c>
      <c r="K7" s="2">
        <f>(K6*('Вводные'!$B$34/100))</f>
        <v>1270305.792586175</v>
      </c>
      <c r="L7" s="2">
        <f>(L6*('Вводные'!$B$34/100))</f>
        <v>1321118.0242896222</v>
      </c>
      <c r="M7" s="2">
        <f>(M6*('Вводные'!$B$34/100))</f>
        <v>1373962.7452612075</v>
      </c>
      <c r="N7" s="2">
        <f>SUM(B7:M7)</f>
        <v>13410531.37679138</v>
      </c>
      <c r="O7" s="0" t="inlineStr">
        <is>
          <t xml:space="preserve">Продажи</t>
        </is>
      </c>
    </row>
    <row r="8" ht="55" customHeight="1">
      <c r="A8" s="5" t="inlineStr">
        <is>
          <t xml:space="preserve">Выручка / оборот</t>
        </is>
      </c>
      <c r="B8" s="2">
        <f>IF(('Вводные'!$B$4="manual"),('Вводные'!$B$18*'Вводные'!$B$17),B6)</f>
        <v>1000000</v>
      </c>
      <c r="C8" s="2">
        <f>IF(('Вводные'!$B$4="manual"),('Вводные'!$B$19*'Вводные'!$B$17),C6)</f>
        <v>1000000</v>
      </c>
      <c r="D8" s="2">
        <f>IF(('Вводные'!$B$4="manual"),('Вводные'!$B$20*'Вводные'!$B$17),D6)</f>
        <v>1000000</v>
      </c>
      <c r="E8" s="2">
        <f>IF(('Вводные'!$B$4="manual"),('Вводные'!$B$21*'Вводные'!$B$17),E6)</f>
        <v>1000000</v>
      </c>
      <c r="F8" s="2">
        <f>IF(('Вводные'!$B$4="manual"),('Вводные'!$B$22*'Вводные'!$B$17),F6)</f>
        <v>1000000</v>
      </c>
      <c r="G8" s="2">
        <f>IF(('Вводные'!$B$4="manual"),('Вводные'!$B$23*'Вводные'!$B$17),G6)</f>
        <v>1000000</v>
      </c>
      <c r="H8" s="2">
        <f>IF(('Вводные'!$B$4="manual"),('Вводные'!$B$24*'Вводные'!$B$17),H6)</f>
        <v>1000000</v>
      </c>
      <c r="I8" s="2">
        <f>IF(('Вводные'!$B$4="manual"),('Вводные'!$B$25*'Вводные'!$B$17),I6)</f>
        <v>1000000</v>
      </c>
      <c r="J8" s="2">
        <f>IF(('Вводные'!$B$4="manual"),('Вводные'!$B$26*'Вводные'!$B$17),J6)</f>
        <v>1000000</v>
      </c>
      <c r="K8" s="2">
        <f>IF(('Вводные'!$B$4="manual"),('Вводные'!$B$27*'Вводные'!$B$17),K6)</f>
        <v>1000000</v>
      </c>
      <c r="L8" s="2">
        <f>IF(('Вводные'!$B$4="manual"),('Вводные'!$B$28*'Вводные'!$B$17),L6)</f>
        <v>1000000</v>
      </c>
      <c r="M8" s="2">
        <f>IF(('Вводные'!$B$4="manual"),('Вводные'!$B$29*'Вводные'!$B$17),M6)</f>
        <v>1000000</v>
      </c>
      <c r="N8" s="2">
        <f>SUM(B8:M8)</f>
        <v>12000000</v>
      </c>
      <c r="O8" s="0" t="inlineStr">
        <is>
          <t xml:space="preserve">По продуктам: количество × цена. Вручную: введённый оборот. Сценарий применяется один раз.</t>
        </is>
      </c>
    </row>
    <row r="9" ht="55" customHeight="1">
      <c r="A9" s="5" t="inlineStr">
        <is>
          <t xml:space="preserve">Себестоимость продаж</t>
        </is>
      </c>
      <c r="B9" s="2">
        <f>IF(('Вводные'!$B$4="manual"),(B8*('Вводные'!$B$5/100)),B7)</f>
        <v>400000</v>
      </c>
      <c r="C9" s="2">
        <f>IF(('Вводные'!$B$4="manual"),(C8*('Вводные'!$B$5/100)),C7)</f>
        <v>400000</v>
      </c>
      <c r="D9" s="2">
        <f>IF(('Вводные'!$B$4="manual"),(D8*('Вводные'!$B$5/100)),D7)</f>
        <v>400000</v>
      </c>
      <c r="E9" s="2">
        <f>IF(('Вводные'!$B$4="manual"),(E8*('Вводные'!$B$5/100)),E7)</f>
        <v>400000</v>
      </c>
      <c r="F9" s="2">
        <f>IF(('Вводные'!$B$4="manual"),(F8*('Вводные'!$B$5/100)),F7)</f>
        <v>400000</v>
      </c>
      <c r="G9" s="2">
        <f>IF(('Вводные'!$B$4="manual"),(G8*('Вводные'!$B$5/100)),G7)</f>
        <v>400000</v>
      </c>
      <c r="H9" s="2">
        <f>IF(('Вводные'!$B$4="manual"),(H8*('Вводные'!$B$5/100)),H7)</f>
        <v>400000</v>
      </c>
      <c r="I9" s="2">
        <f>IF(('Вводные'!$B$4="manual"),(I8*('Вводные'!$B$5/100)),I7)</f>
        <v>400000</v>
      </c>
      <c r="J9" s="2">
        <f>IF(('Вводные'!$B$4="manual"),(J8*('Вводные'!$B$5/100)),J7)</f>
        <v>400000</v>
      </c>
      <c r="K9" s="2">
        <f>IF(('Вводные'!$B$4="manual"),(K8*('Вводные'!$B$5/100)),K7)</f>
        <v>400000</v>
      </c>
      <c r="L9" s="2">
        <f>IF(('Вводные'!$B$4="manual"),(L8*('Вводные'!$B$5/100)),L7)</f>
        <v>400000</v>
      </c>
      <c r="M9" s="2">
        <f>IF(('Вводные'!$B$4="manual"),(M8*('Вводные'!$B$5/100)),M7)</f>
        <v>400000</v>
      </c>
      <c r="N9" s="2">
        <f>SUM(B9:M9)</f>
        <v>4800000</v>
      </c>
      <c r="O9" s="0" t="inlineStr">
        <is>
          <t xml:space="preserve">Себестоимость продуктов или доля ручного оборота. Не дублируйте её в прочих расходах.</t>
        </is>
      </c>
    </row>
    <row r="10" ht="55" customHeight="1">
      <c r="A10" s="5" t="inlineStr">
        <is>
          <t xml:space="preserve">Валовая прибыль</t>
        </is>
      </c>
      <c r="B10" s="2">
        <f>(B8-B9)</f>
        <v>600000</v>
      </c>
      <c r="C10" s="2">
        <f>(C8-C9)</f>
        <v>600000</v>
      </c>
      <c r="D10" s="2">
        <f>(D8-D9)</f>
        <v>600000</v>
      </c>
      <c r="E10" s="2">
        <f>(E8-E9)</f>
        <v>600000</v>
      </c>
      <c r="F10" s="2">
        <f>(F8-F9)</f>
        <v>600000</v>
      </c>
      <c r="G10" s="2">
        <f>(G8-G9)</f>
        <v>600000</v>
      </c>
      <c r="H10" s="2">
        <f>(H8-H9)</f>
        <v>600000</v>
      </c>
      <c r="I10" s="2">
        <f>(I8-I9)</f>
        <v>600000</v>
      </c>
      <c r="J10" s="2">
        <f>(J8-J9)</f>
        <v>600000</v>
      </c>
      <c r="K10" s="2">
        <f>(K8-K9)</f>
        <v>600000</v>
      </c>
      <c r="L10" s="2">
        <f>(L8-L9)</f>
        <v>600000</v>
      </c>
      <c r="M10" s="2">
        <f>(M8-M9)</f>
        <v>600000</v>
      </c>
      <c r="N10" s="2">
        <f>SUM(B10:M10)</f>
        <v>7200000</v>
      </c>
      <c r="O10" s="0" t="inlineStr">
        <is>
          <t xml:space="preserve">Выручка − себестоимость.</t>
        </is>
      </c>
    </row>
    <row r="11" ht="25" customHeight="1">
      <c r="A11" s="5" t="inlineStr">
        <is>
          <t xml:space="preserve">Оклады и бонусы</t>
        </is>
      </c>
      <c r="B11" s="2">
        <f>0</f>
        <v>0</v>
      </c>
      <c r="C11" s="2">
        <f>0</f>
        <v>0</v>
      </c>
      <c r="D11" s="2">
        <f>0</f>
        <v>0</v>
      </c>
      <c r="E11" s="2">
        <f>0</f>
        <v>0</v>
      </c>
      <c r="F11" s="2">
        <f>0</f>
        <v>0</v>
      </c>
      <c r="G11" s="2">
        <f>0</f>
        <v>0</v>
      </c>
      <c r="H11" s="2">
        <f>0</f>
        <v>0</v>
      </c>
      <c r="I11" s="2">
        <f>0</f>
        <v>0</v>
      </c>
      <c r="J11" s="2">
        <f>0</f>
        <v>0</v>
      </c>
      <c r="K11" s="2">
        <f>0</f>
        <v>0</v>
      </c>
      <c r="L11" s="2">
        <f>0</f>
        <v>0</v>
      </c>
      <c r="M11" s="2">
        <f>0</f>
        <v>0</v>
      </c>
      <c r="N11" s="2">
        <f>SUM(B11:M11)</f>
        <v>0</v>
      </c>
      <c r="O11" s="0" t="inlineStr">
        <is>
          <t xml:space="preserve">Команда</t>
        </is>
      </c>
    </row>
    <row r="12" ht="25" customHeight="1">
      <c r="A12" s="5" t="inlineStr">
        <is>
          <t xml:space="preserve">Начисления работодателя</t>
        </is>
      </c>
      <c r="B12" s="2">
        <f>0</f>
        <v>0</v>
      </c>
      <c r="C12" s="2">
        <f>0</f>
        <v>0</v>
      </c>
      <c r="D12" s="2">
        <f>0</f>
        <v>0</v>
      </c>
      <c r="E12" s="2">
        <f>0</f>
        <v>0</v>
      </c>
      <c r="F12" s="2">
        <f>0</f>
        <v>0</v>
      </c>
      <c r="G12" s="2">
        <f>0</f>
        <v>0</v>
      </c>
      <c r="H12" s="2">
        <f>0</f>
        <v>0</v>
      </c>
      <c r="I12" s="2">
        <f>0</f>
        <v>0</v>
      </c>
      <c r="J12" s="2">
        <f>0</f>
        <v>0</v>
      </c>
      <c r="K12" s="2">
        <f>0</f>
        <v>0</v>
      </c>
      <c r="L12" s="2">
        <f>0</f>
        <v>0</v>
      </c>
      <c r="M12" s="2">
        <f>0</f>
        <v>0</v>
      </c>
      <c r="N12" s="2">
        <f>SUM(B12:M12)</f>
        <v>0</v>
      </c>
      <c r="O12" s="0" t="inlineStr">
        <is>
          <t xml:space="preserve">Команда</t>
        </is>
      </c>
    </row>
    <row r="13" ht="55" customHeight="1">
      <c r="A13" s="5" t="inlineStr">
        <is>
          <t xml:space="preserve">Команда — всего</t>
        </is>
      </c>
      <c r="B13" s="2">
        <f>(B11+B12)</f>
        <v>0</v>
      </c>
      <c r="C13" s="2">
        <f>(C11+C12)</f>
        <v>0</v>
      </c>
      <c r="D13" s="2">
        <f>(D11+D12)</f>
        <v>0</v>
      </c>
      <c r="E13" s="2">
        <f>(E11+E12)</f>
        <v>0</v>
      </c>
      <c r="F13" s="2">
        <f>(F11+F12)</f>
        <v>0</v>
      </c>
      <c r="G13" s="2">
        <f>(G11+G12)</f>
        <v>0</v>
      </c>
      <c r="H13" s="2">
        <f>(H11+H12)</f>
        <v>0</v>
      </c>
      <c r="I13" s="2">
        <f>(I11+I12)</f>
        <v>0</v>
      </c>
      <c r="J13" s="2">
        <f>(J11+J12)</f>
        <v>0</v>
      </c>
      <c r="K13" s="2">
        <f>(K11+K12)</f>
        <v>0</v>
      </c>
      <c r="L13" s="2">
        <f>(L11+L12)</f>
        <v>0</v>
      </c>
      <c r="M13" s="2">
        <f>(M11+M12)</f>
        <v>0</v>
      </c>
      <c r="N13" s="2">
        <f>SUM(B13:M13)</f>
        <v>0</v>
      </c>
      <c r="O13" s="0" t="inlineStr">
        <is>
          <t xml:space="preserve">Количество × (оклад + бонус) × рост × (1 + начисления). Ставки задаёте вы.</t>
        </is>
      </c>
    </row>
    <row r="14" ht="55" customHeight="1">
      <c r="A14" s="5" t="inlineStr">
        <is>
          <t xml:space="preserve">Маркетинг — всего</t>
        </is>
      </c>
      <c r="B14" s="2">
        <f>0</f>
        <v>0</v>
      </c>
      <c r="C14" s="2">
        <f>0</f>
        <v>0</v>
      </c>
      <c r="D14" s="2">
        <f>0</f>
        <v>0</v>
      </c>
      <c r="E14" s="2">
        <f>0</f>
        <v>0</v>
      </c>
      <c r="F14" s="2">
        <f>0</f>
        <v>0</v>
      </c>
      <c r="G14" s="2">
        <f>0</f>
        <v>0</v>
      </c>
      <c r="H14" s="2">
        <f>0</f>
        <v>0</v>
      </c>
      <c r="I14" s="2">
        <f>0</f>
        <v>0</v>
      </c>
      <c r="J14" s="2">
        <f>0</f>
        <v>0</v>
      </c>
      <c r="K14" s="2">
        <f>0</f>
        <v>0</v>
      </c>
      <c r="L14" s="2">
        <f>0</f>
        <v>0</v>
      </c>
      <c r="M14" s="2">
        <f>0</f>
        <v>0</v>
      </c>
      <c r="N14" s="2">
        <f>SUM(B14:M14)</f>
        <v>0</v>
      </c>
      <c r="O14" s="0" t="inlineStr">
        <is>
          <t xml:space="preserve">Бюджеты каналов + процент от выручки. Продажи из воронки уже должны входить в общий оборот.</t>
        </is>
      </c>
    </row>
    <row r="15" ht="25" customHeight="1">
      <c r="A15" s="5" t="inlineStr">
        <is>
          <t xml:space="preserve">Заявки из рекламы, шт.</t>
        </is>
      </c>
      <c r="B15" s="2">
        <f>0</f>
        <v>0</v>
      </c>
      <c r="C15" s="2">
        <f>0</f>
        <v>0</v>
      </c>
      <c r="D15" s="2">
        <f>0</f>
        <v>0</v>
      </c>
      <c r="E15" s="2">
        <f>0</f>
        <v>0</v>
      </c>
      <c r="F15" s="2">
        <f>0</f>
        <v>0</v>
      </c>
      <c r="G15" s="2">
        <f>0</f>
        <v>0</v>
      </c>
      <c r="H15" s="2">
        <f>0</f>
        <v>0</v>
      </c>
      <c r="I15" s="2">
        <f>0</f>
        <v>0</v>
      </c>
      <c r="J15" s="2">
        <f>0</f>
        <v>0</v>
      </c>
      <c r="K15" s="2">
        <f>0</f>
        <v>0</v>
      </c>
      <c r="L15" s="2">
        <f>0</f>
        <v>0</v>
      </c>
      <c r="M15" s="2">
        <f>0</f>
        <v>0</v>
      </c>
      <c r="N15" s="2">
        <f>SUM(B15:M15)</f>
        <v>0</v>
      </c>
      <c r="O15" s="0" t="inlineStr">
        <is>
          <t xml:space="preserve">Маркетинг</t>
        </is>
      </c>
    </row>
    <row r="16" ht="25" customHeight="1">
      <c r="A16" s="5" t="inlineStr">
        <is>
          <t xml:space="preserve">Клиенты из рекламы, шт.</t>
        </is>
      </c>
      <c r="B16" s="2">
        <f>0</f>
        <v>0</v>
      </c>
      <c r="C16" s="2">
        <f>0</f>
        <v>0</v>
      </c>
      <c r="D16" s="2">
        <f>0</f>
        <v>0</v>
      </c>
      <c r="E16" s="2">
        <f>0</f>
        <v>0</v>
      </c>
      <c r="F16" s="2">
        <f>0</f>
        <v>0</v>
      </c>
      <c r="G16" s="2">
        <f>0</f>
        <v>0</v>
      </c>
      <c r="H16" s="2">
        <f>0</f>
        <v>0</v>
      </c>
      <c r="I16" s="2">
        <f>0</f>
        <v>0</v>
      </c>
      <c r="J16" s="2">
        <f>0</f>
        <v>0</v>
      </c>
      <c r="K16" s="2">
        <f>0</f>
        <v>0</v>
      </c>
      <c r="L16" s="2">
        <f>0</f>
        <v>0</v>
      </c>
      <c r="M16" s="2">
        <f>0</f>
        <v>0</v>
      </c>
      <c r="N16" s="2">
        <f>SUM(B16:M16)</f>
        <v>0</v>
      </c>
      <c r="O16" s="0" t="inlineStr">
        <is>
          <t xml:space="preserve">Маркетинг</t>
        </is>
      </c>
    </row>
    <row r="17" ht="55" customHeight="1">
      <c r="A17" s="5" t="inlineStr">
        <is>
          <t xml:space="preserve">Оценка выручки из рекламы</t>
        </is>
      </c>
      <c r="B17" s="2">
        <f>0</f>
        <v>0</v>
      </c>
      <c r="C17" s="2">
        <f>0</f>
        <v>0</v>
      </c>
      <c r="D17" s="2">
        <f>0</f>
        <v>0</v>
      </c>
      <c r="E17" s="2">
        <f>0</f>
        <v>0</v>
      </c>
      <c r="F17" s="2">
        <f>0</f>
        <v>0</v>
      </c>
      <c r="G17" s="2">
        <f>0</f>
        <v>0</v>
      </c>
      <c r="H17" s="2">
        <f>0</f>
        <v>0</v>
      </c>
      <c r="I17" s="2">
        <f>0</f>
        <v>0</v>
      </c>
      <c r="J17" s="2">
        <f>0</f>
        <v>0</v>
      </c>
      <c r="K17" s="2">
        <f>0</f>
        <v>0</v>
      </c>
      <c r="L17" s="2">
        <f>0</f>
        <v>0</v>
      </c>
      <c r="M17" s="2">
        <f>0</f>
        <v>0</v>
      </c>
      <c r="N17" s="2">
        <f>SUM(B17:M17)</f>
        <v>0</v>
      </c>
      <c r="O17" s="0" t="inlineStr">
        <is>
          <t xml:space="preserve">Клиенты × чек каждого канала. Не прибавляется к обороту, чтобы не считать продажи дважды.</t>
        </is>
      </c>
    </row>
    <row r="18" ht="25" customHeight="1">
      <c r="A18" s="0" t="inlineStr">
        <is>
          <t xml:space="preserve">Комиссия</t>
        </is>
      </c>
      <c r="B18" s="2">
        <f>IF(AND(AND((1&gt;='Вводные'!$B$41),(1&lt;='Вводные'!$B$42)),IF(('Вводные'!$B$38="once"),(1='Вводные'!$B$41),TRUE)),IF(('Вводные'!$B$38="percent"),(B8*('Вводные'!$B$39/100)),('Вводные'!$B$39*((1+('Вводные'!$B$40/100))^MAX(0,(1-'Вводные'!$B$41))))),0)</f>
        <v>50000</v>
      </c>
      <c r="C18" s="2">
        <f>IF(AND(AND((2&gt;='Вводные'!$B$41),(2&lt;='Вводные'!$B$42)),IF(('Вводные'!$B$38="once"),(2='Вводные'!$B$41),TRUE)),IF(('Вводные'!$B$38="percent"),(C8*('Вводные'!$B$39/100)),('Вводные'!$B$39*((1+('Вводные'!$B$40/100))^MAX(0,(2-'Вводные'!$B$41))))),0)</f>
        <v>50000</v>
      </c>
      <c r="D18" s="2">
        <f>IF(AND(AND((3&gt;='Вводные'!$B$41),(3&lt;='Вводные'!$B$42)),IF(('Вводные'!$B$38="once"),(3='Вводные'!$B$41),TRUE)),IF(('Вводные'!$B$38="percent"),(D8*('Вводные'!$B$39/100)),('Вводные'!$B$39*((1+('Вводные'!$B$40/100))^MAX(0,(3-'Вводные'!$B$41))))),0)</f>
        <v>50000</v>
      </c>
      <c r="E18" s="2">
        <f>IF(AND(AND((4&gt;='Вводные'!$B$41),(4&lt;='Вводные'!$B$42)),IF(('Вводные'!$B$38="once"),(4='Вводные'!$B$41),TRUE)),IF(('Вводные'!$B$38="percent"),(E8*('Вводные'!$B$39/100)),('Вводные'!$B$39*((1+('Вводные'!$B$40/100))^MAX(0,(4-'Вводные'!$B$41))))),0)</f>
        <v>50000</v>
      </c>
      <c r="F18" s="2">
        <f>IF(AND(AND((5&gt;='Вводные'!$B$41),(5&lt;='Вводные'!$B$42)),IF(('Вводные'!$B$38="once"),(5='Вводные'!$B$41),TRUE)),IF(('Вводные'!$B$38="percent"),(F8*('Вводные'!$B$39/100)),('Вводные'!$B$39*((1+('Вводные'!$B$40/100))^MAX(0,(5-'Вводные'!$B$41))))),0)</f>
        <v>50000</v>
      </c>
      <c r="G18" s="2">
        <f>IF(AND(AND((6&gt;='Вводные'!$B$41),(6&lt;='Вводные'!$B$42)),IF(('Вводные'!$B$38="once"),(6='Вводные'!$B$41),TRUE)),IF(('Вводные'!$B$38="percent"),(G8*('Вводные'!$B$39/100)),('Вводные'!$B$39*((1+('Вводные'!$B$40/100))^MAX(0,(6-'Вводные'!$B$41))))),0)</f>
        <v>50000</v>
      </c>
      <c r="H18" s="2">
        <f>IF(AND(AND((7&gt;='Вводные'!$B$41),(7&lt;='Вводные'!$B$42)),IF(('Вводные'!$B$38="once"),(7='Вводные'!$B$41),TRUE)),IF(('Вводные'!$B$38="percent"),(H8*('Вводные'!$B$39/100)),('Вводные'!$B$39*((1+('Вводные'!$B$40/100))^MAX(0,(7-'Вводные'!$B$41))))),0)</f>
        <v>50000</v>
      </c>
      <c r="I18" s="2">
        <f>IF(AND(AND((8&gt;='Вводные'!$B$41),(8&lt;='Вводные'!$B$42)),IF(('Вводные'!$B$38="once"),(8='Вводные'!$B$41),TRUE)),IF(('Вводные'!$B$38="percent"),(I8*('Вводные'!$B$39/100)),('Вводные'!$B$39*((1+('Вводные'!$B$40/100))^MAX(0,(8-'Вводные'!$B$41))))),0)</f>
        <v>50000</v>
      </c>
      <c r="J18" s="2">
        <f>IF(AND(AND((9&gt;='Вводные'!$B$41),(9&lt;='Вводные'!$B$42)),IF(('Вводные'!$B$38="once"),(9='Вводные'!$B$41),TRUE)),IF(('Вводные'!$B$38="percent"),(J8*('Вводные'!$B$39/100)),('Вводные'!$B$39*((1+('Вводные'!$B$40/100))^MAX(0,(9-'Вводные'!$B$41))))),0)</f>
        <v>50000</v>
      </c>
      <c r="K18" s="2">
        <f>IF(AND(AND((10&gt;='Вводные'!$B$41),(10&lt;='Вводные'!$B$42)),IF(('Вводные'!$B$38="once"),(10='Вводные'!$B$41),TRUE)),IF(('Вводные'!$B$38="percent"),(K8*('Вводные'!$B$39/100)),('Вводные'!$B$39*((1+('Вводные'!$B$40/100))^MAX(0,(10-'Вводные'!$B$41))))),0)</f>
        <v>50000</v>
      </c>
      <c r="L18" s="2">
        <f>IF(AND(AND((11&gt;='Вводные'!$B$41),(11&lt;='Вводные'!$B$42)),IF(('Вводные'!$B$38="once"),(11='Вводные'!$B$41),TRUE)),IF(('Вводные'!$B$38="percent"),(L8*('Вводные'!$B$39/100)),('Вводные'!$B$39*((1+('Вводные'!$B$40/100))^MAX(0,(11-'Вводные'!$B$41))))),0)</f>
        <v>50000</v>
      </c>
      <c r="M18" s="2">
        <f>IF(AND(AND((12&gt;='Вводные'!$B$41),(12&lt;='Вводные'!$B$42)),IF(('Вводные'!$B$38="once"),(12='Вводные'!$B$41),TRUE)),IF(('Вводные'!$B$38="percent"),(M8*('Вводные'!$B$39/100)),('Вводные'!$B$39*((1+('Вводные'!$B$40/100))^MAX(0,(12-'Вводные'!$B$41))))),0)</f>
        <v>50000</v>
      </c>
      <c r="N18" s="2">
        <f>SUM(B18:M18)</f>
        <v>600000</v>
      </c>
      <c r="O18" s="0" t="inlineStr">
        <is>
          <t xml:space="preserve">Прочие расходы</t>
        </is>
      </c>
    </row>
    <row r="19" ht="25" customHeight="1">
      <c r="A19" s="0" t="inlineStr">
        <is>
          <t xml:space="preserve">Разовый</t>
        </is>
      </c>
      <c r="B19" s="2">
        <f>IF(AND(AND((1&gt;='Вводные'!$B$47),(1&lt;='Вводные'!$B$48)),IF(('Вводные'!$B$44="once"),(1='Вводные'!$B$47),TRUE)),IF(('Вводные'!$B$44="percent"),(B8*('Вводные'!$B$45/100)),('Вводные'!$B$45*((1+('Вводные'!$B$46/100))^MAX(0,(1-'Вводные'!$B$47))))),0)</f>
        <v>0</v>
      </c>
      <c r="C19" s="2">
        <f>IF(AND(AND((2&gt;='Вводные'!$B$47),(2&lt;='Вводные'!$B$48)),IF(('Вводные'!$B$44="once"),(2='Вводные'!$B$47),TRUE)),IF(('Вводные'!$B$44="percent"),(C8*('Вводные'!$B$45/100)),('Вводные'!$B$45*((1+('Вводные'!$B$46/100))^MAX(0,(2-'Вводные'!$B$47))))),0)</f>
        <v>0</v>
      </c>
      <c r="D19" s="2">
        <f>IF(AND(AND((3&gt;='Вводные'!$B$47),(3&lt;='Вводные'!$B$48)),IF(('Вводные'!$B$44="once"),(3='Вводные'!$B$47),TRUE)),IF(('Вводные'!$B$44="percent"),(D8*('Вводные'!$B$45/100)),('Вводные'!$B$45*((1+('Вводные'!$B$46/100))^MAX(0,(3-'Вводные'!$B$47))))),0)</f>
        <v>100000</v>
      </c>
      <c r="E19" s="2">
        <f>IF(AND(AND((4&gt;='Вводные'!$B$47),(4&lt;='Вводные'!$B$48)),IF(('Вводные'!$B$44="once"),(4='Вводные'!$B$47),TRUE)),IF(('Вводные'!$B$44="percent"),(E8*('Вводные'!$B$45/100)),('Вводные'!$B$45*((1+('Вводные'!$B$46/100))^MAX(0,(4-'Вводные'!$B$47))))),0)</f>
        <v>0</v>
      </c>
      <c r="F19" s="2">
        <f>IF(AND(AND((5&gt;='Вводные'!$B$47),(5&lt;='Вводные'!$B$48)),IF(('Вводные'!$B$44="once"),(5='Вводные'!$B$47),TRUE)),IF(('Вводные'!$B$44="percent"),(F8*('Вводные'!$B$45/100)),('Вводные'!$B$45*((1+('Вводные'!$B$46/100))^MAX(0,(5-'Вводные'!$B$47))))),0)</f>
        <v>0</v>
      </c>
      <c r="G19" s="2">
        <f>IF(AND(AND((6&gt;='Вводные'!$B$47),(6&lt;='Вводные'!$B$48)),IF(('Вводные'!$B$44="once"),(6='Вводные'!$B$47),TRUE)),IF(('Вводные'!$B$44="percent"),(G8*('Вводные'!$B$45/100)),('Вводные'!$B$45*((1+('Вводные'!$B$46/100))^MAX(0,(6-'Вводные'!$B$47))))),0)</f>
        <v>0</v>
      </c>
      <c r="H19" s="2">
        <f>IF(AND(AND((7&gt;='Вводные'!$B$47),(7&lt;='Вводные'!$B$48)),IF(('Вводные'!$B$44="once"),(7='Вводные'!$B$47),TRUE)),IF(('Вводные'!$B$44="percent"),(H8*('Вводные'!$B$45/100)),('Вводные'!$B$45*((1+('Вводные'!$B$46/100))^MAX(0,(7-'Вводные'!$B$47))))),0)</f>
        <v>0</v>
      </c>
      <c r="I19" s="2">
        <f>IF(AND(AND((8&gt;='Вводные'!$B$47),(8&lt;='Вводные'!$B$48)),IF(('Вводные'!$B$44="once"),(8='Вводные'!$B$47),TRUE)),IF(('Вводные'!$B$44="percent"),(I8*('Вводные'!$B$45/100)),('Вводные'!$B$45*((1+('Вводные'!$B$46/100))^MAX(0,(8-'Вводные'!$B$47))))),0)</f>
        <v>0</v>
      </c>
      <c r="J19" s="2">
        <f>IF(AND(AND((9&gt;='Вводные'!$B$47),(9&lt;='Вводные'!$B$48)),IF(('Вводные'!$B$44="once"),(9='Вводные'!$B$47),TRUE)),IF(('Вводные'!$B$44="percent"),(J8*('Вводные'!$B$45/100)),('Вводные'!$B$45*((1+('Вводные'!$B$46/100))^MAX(0,(9-'Вводные'!$B$47))))),0)</f>
        <v>0</v>
      </c>
      <c r="K19" s="2">
        <f>IF(AND(AND((10&gt;='Вводные'!$B$47),(10&lt;='Вводные'!$B$48)),IF(('Вводные'!$B$44="once"),(10='Вводные'!$B$47),TRUE)),IF(('Вводные'!$B$44="percent"),(K8*('Вводные'!$B$45/100)),('Вводные'!$B$45*((1+('Вводные'!$B$46/100))^MAX(0,(10-'Вводные'!$B$47))))),0)</f>
        <v>0</v>
      </c>
      <c r="L19" s="2">
        <f>IF(AND(AND((11&gt;='Вводные'!$B$47),(11&lt;='Вводные'!$B$48)),IF(('Вводные'!$B$44="once"),(11='Вводные'!$B$47),TRUE)),IF(('Вводные'!$B$44="percent"),(L8*('Вводные'!$B$45/100)),('Вводные'!$B$45*((1+('Вводные'!$B$46/100))^MAX(0,(11-'Вводные'!$B$47))))),0)</f>
        <v>0</v>
      </c>
      <c r="M19" s="2">
        <f>IF(AND(AND((12&gt;='Вводные'!$B$47),(12&lt;='Вводные'!$B$48)),IF(('Вводные'!$B$44="once"),(12='Вводные'!$B$47),TRUE)),IF(('Вводные'!$B$44="percent"),(M8*('Вводные'!$B$45/100)),('Вводные'!$B$45*((1+('Вводные'!$B$46/100))^MAX(0,(12-'Вводные'!$B$47))))),0)</f>
        <v>0</v>
      </c>
      <c r="N19" s="2">
        <f>SUM(B19:M19)</f>
        <v>100000</v>
      </c>
      <c r="O19" s="0" t="inlineStr">
        <is>
          <t xml:space="preserve">Прочие расходы</t>
        </is>
      </c>
    </row>
    <row r="20" ht="25" customHeight="1">
      <c r="A20" s="5" t="inlineStr">
        <is>
          <t xml:space="preserve">Прочие расходы — всего</t>
        </is>
      </c>
      <c r="B20" s="2">
        <f>(B18+B19)</f>
        <v>50000</v>
      </c>
      <c r="C20" s="2">
        <f>(C18+C19)</f>
        <v>50000</v>
      </c>
      <c r="D20" s="2">
        <f>(D18+D19)</f>
        <v>150000</v>
      </c>
      <c r="E20" s="2">
        <f>(E18+E19)</f>
        <v>50000</v>
      </c>
      <c r="F20" s="2">
        <f>(F18+F19)</f>
        <v>50000</v>
      </c>
      <c r="G20" s="2">
        <f>(G18+G19)</f>
        <v>50000</v>
      </c>
      <c r="H20" s="2">
        <f>(H18+H19)</f>
        <v>50000</v>
      </c>
      <c r="I20" s="2">
        <f>(I18+I19)</f>
        <v>50000</v>
      </c>
      <c r="J20" s="2">
        <f>(J18+J19)</f>
        <v>50000</v>
      </c>
      <c r="K20" s="2">
        <f>(K18+K19)</f>
        <v>50000</v>
      </c>
      <c r="L20" s="2">
        <f>(L18+L19)</f>
        <v>50000</v>
      </c>
      <c r="M20" s="2">
        <f>(M18+M19)</f>
        <v>50000</v>
      </c>
      <c r="N20" s="2">
        <f>SUM(B20:M20)</f>
        <v>700000</v>
      </c>
      <c r="O20" s="0" t="inlineStr">
        <is>
          <t xml:space="preserve">Результат</t>
        </is>
      </c>
    </row>
    <row r="21" ht="55" customHeight="1">
      <c r="A21" s="5" t="inlineStr">
        <is>
          <t xml:space="preserve">Операционные расходы</t>
        </is>
      </c>
      <c r="B21" s="2">
        <f>((B13+B14)+B20)</f>
        <v>50000</v>
      </c>
      <c r="C21" s="2">
        <f>((C13+C14)+C20)</f>
        <v>50000</v>
      </c>
      <c r="D21" s="2">
        <f>((D13+D14)+D20)</f>
        <v>150000</v>
      </c>
      <c r="E21" s="2">
        <f>((E13+E14)+E20)</f>
        <v>50000</v>
      </c>
      <c r="F21" s="2">
        <f>((F13+F14)+F20)</f>
        <v>50000</v>
      </c>
      <c r="G21" s="2">
        <f>((G13+G14)+G20)</f>
        <v>50000</v>
      </c>
      <c r="H21" s="2">
        <f>((H13+H14)+H20)</f>
        <v>50000</v>
      </c>
      <c r="I21" s="2">
        <f>((I13+I14)+I20)</f>
        <v>50000</v>
      </c>
      <c r="J21" s="2">
        <f>((J13+J14)+J20)</f>
        <v>50000</v>
      </c>
      <c r="K21" s="2">
        <f>((K13+K14)+K20)</f>
        <v>50000</v>
      </c>
      <c r="L21" s="2">
        <f>((L13+L14)+L20)</f>
        <v>50000</v>
      </c>
      <c r="M21" s="2">
        <f>((M13+M14)+M20)</f>
        <v>50000</v>
      </c>
      <c r="N21" s="2">
        <f>SUM(B21:M21)</f>
        <v>700000</v>
      </c>
      <c r="O21" s="0" t="inlineStr">
        <is>
          <t xml:space="preserve">Команда + маркетинг + прочие расходы.</t>
        </is>
      </c>
    </row>
    <row r="22" ht="55" customHeight="1">
      <c r="A22" s="5" t="inlineStr">
        <is>
          <t xml:space="preserve">EBITDA</t>
        </is>
      </c>
      <c r="B22" s="2">
        <f>(B10-B21)</f>
        <v>550000</v>
      </c>
      <c r="C22" s="2">
        <f>(C10-C21)</f>
        <v>550000</v>
      </c>
      <c r="D22" s="2">
        <f>(D10-D21)</f>
        <v>450000</v>
      </c>
      <c r="E22" s="2">
        <f>(E10-E21)</f>
        <v>550000</v>
      </c>
      <c r="F22" s="2">
        <f>(F10-F21)</f>
        <v>550000</v>
      </c>
      <c r="G22" s="2">
        <f>(G10-G21)</f>
        <v>550000</v>
      </c>
      <c r="H22" s="2">
        <f>(H10-H21)</f>
        <v>550000</v>
      </c>
      <c r="I22" s="2">
        <f>(I10-I21)</f>
        <v>550000</v>
      </c>
      <c r="J22" s="2">
        <f>(J10-J21)</f>
        <v>550000</v>
      </c>
      <c r="K22" s="2">
        <f>(K10-K21)</f>
        <v>550000</v>
      </c>
      <c r="L22" s="2">
        <f>(L10-L21)</f>
        <v>550000</v>
      </c>
      <c r="M22" s="2">
        <f>(M10-M21)</f>
        <v>550000</v>
      </c>
      <c r="N22" s="2">
        <f>SUM(B22:M22)</f>
        <v>6500000</v>
      </c>
      <c r="O22" s="0" t="inlineStr">
        <is>
          <t xml:space="preserve">Валовая прибыль − операционные расходы; до амортизации, процентов и налога.</t>
        </is>
      </c>
    </row>
    <row r="23" ht="25" customHeight="1">
      <c r="A23" s="0" t="inlineStr">
        <is>
          <t xml:space="preserve">Станок · покупка</t>
        </is>
      </c>
      <c r="B23" s="2">
        <f>IF((1='Вводные'!$B$51),'Вводные'!$B$50,0)</f>
        <v>0</v>
      </c>
      <c r="C23" s="2">
        <f>IF((2='Вводные'!$B$51),'Вводные'!$B$50,0)</f>
        <v>120000</v>
      </c>
      <c r="D23" s="2">
        <f>IF((3='Вводные'!$B$51),'Вводные'!$B$50,0)</f>
        <v>0</v>
      </c>
      <c r="E23" s="2">
        <f>IF((4='Вводные'!$B$51),'Вводные'!$B$50,0)</f>
        <v>0</v>
      </c>
      <c r="F23" s="2">
        <f>IF((5='Вводные'!$B$51),'Вводные'!$B$50,0)</f>
        <v>0</v>
      </c>
      <c r="G23" s="2">
        <f>IF((6='Вводные'!$B$51),'Вводные'!$B$50,0)</f>
        <v>0</v>
      </c>
      <c r="H23" s="2">
        <f>IF((7='Вводные'!$B$51),'Вводные'!$B$50,0)</f>
        <v>0</v>
      </c>
      <c r="I23" s="2">
        <f>IF((8='Вводные'!$B$51),'Вводные'!$B$50,0)</f>
        <v>0</v>
      </c>
      <c r="J23" s="2">
        <f>IF((9='Вводные'!$B$51),'Вводные'!$B$50,0)</f>
        <v>0</v>
      </c>
      <c r="K23" s="2">
        <f>IF((10='Вводные'!$B$51),'Вводные'!$B$50,0)</f>
        <v>0</v>
      </c>
      <c r="L23" s="2">
        <f>IF((11='Вводные'!$B$51),'Вводные'!$B$50,0)</f>
        <v>0</v>
      </c>
      <c r="M23" s="2">
        <f>IF((12='Вводные'!$B$51),'Вводные'!$B$50,0)</f>
        <v>0</v>
      </c>
      <c r="N23" s="2">
        <f>SUM(B23:M23)</f>
        <v>120000</v>
      </c>
      <c r="O23" s="0" t="inlineStr">
        <is>
          <t xml:space="preserve">Вложения</t>
        </is>
      </c>
    </row>
    <row r="24" ht="25" customHeight="1">
      <c r="A24" s="0" t="inlineStr">
        <is>
          <t xml:space="preserve">Станок · амортизация</t>
        </is>
      </c>
      <c r="B24" s="2">
        <f>IF(AND((1&gt;='Вводные'!$B$51),(1&lt;=(('Вводные'!$B$51+'Вводные'!$B$52)-1))),('Вводные'!$B$50/'Вводные'!$B$52),0)</f>
        <v>0</v>
      </c>
      <c r="C24" s="2">
        <f>IF(AND((2&gt;='Вводные'!$B$51),(2&lt;=(('Вводные'!$B$51+'Вводные'!$B$52)-1))),('Вводные'!$B$50/'Вводные'!$B$52),0)</f>
        <v>10000</v>
      </c>
      <c r="D24" s="2">
        <f>IF(AND((3&gt;='Вводные'!$B$51),(3&lt;=(('Вводные'!$B$51+'Вводные'!$B$52)-1))),('Вводные'!$B$50/'Вводные'!$B$52),0)</f>
        <v>10000</v>
      </c>
      <c r="E24" s="2">
        <f>IF(AND((4&gt;='Вводные'!$B$51),(4&lt;=(('Вводные'!$B$51+'Вводные'!$B$52)-1))),('Вводные'!$B$50/'Вводные'!$B$52),0)</f>
        <v>10000</v>
      </c>
      <c r="F24" s="2">
        <f>IF(AND((5&gt;='Вводные'!$B$51),(5&lt;=(('Вводные'!$B$51+'Вводные'!$B$52)-1))),('Вводные'!$B$50/'Вводные'!$B$52),0)</f>
        <v>10000</v>
      </c>
      <c r="G24" s="2">
        <f>IF(AND((6&gt;='Вводные'!$B$51),(6&lt;=(('Вводные'!$B$51+'Вводные'!$B$52)-1))),('Вводные'!$B$50/'Вводные'!$B$52),0)</f>
        <v>10000</v>
      </c>
      <c r="H24" s="2">
        <f>IF(AND((7&gt;='Вводные'!$B$51),(7&lt;=(('Вводные'!$B$51+'Вводные'!$B$52)-1))),('Вводные'!$B$50/'Вводные'!$B$52),0)</f>
        <v>10000</v>
      </c>
      <c r="I24" s="2">
        <f>IF(AND((8&gt;='Вводные'!$B$51),(8&lt;=(('Вводные'!$B$51+'Вводные'!$B$52)-1))),('Вводные'!$B$50/'Вводные'!$B$52),0)</f>
        <v>10000</v>
      </c>
      <c r="J24" s="2">
        <f>IF(AND((9&gt;='Вводные'!$B$51),(9&lt;=(('Вводные'!$B$51+'Вводные'!$B$52)-1))),('Вводные'!$B$50/'Вводные'!$B$52),0)</f>
        <v>10000</v>
      </c>
      <c r="K24" s="2">
        <f>IF(AND((10&gt;='Вводные'!$B$51),(10&lt;=(('Вводные'!$B$51+'Вводные'!$B$52)-1))),('Вводные'!$B$50/'Вводные'!$B$52),0)</f>
        <v>10000</v>
      </c>
      <c r="L24" s="2">
        <f>IF(AND((11&gt;='Вводные'!$B$51),(11&lt;=(('Вводные'!$B$51+'Вводные'!$B$52)-1))),('Вводные'!$B$50/'Вводные'!$B$52),0)</f>
        <v>10000</v>
      </c>
      <c r="M24" s="2">
        <f>IF(AND((12&gt;='Вводные'!$B$51),(12&lt;=(('Вводные'!$B$51+'Вводные'!$B$52)-1))),('Вводные'!$B$50/'Вводные'!$B$52),0)</f>
        <v>10000</v>
      </c>
      <c r="N24" s="2">
        <f>SUM(B24:M24)</f>
        <v>110000</v>
      </c>
      <c r="O24" s="0" t="inlineStr">
        <is>
          <t xml:space="preserve">Вложения</t>
        </is>
      </c>
    </row>
    <row r="25" ht="25" customHeight="1">
      <c r="A25" s="5" t="inlineStr">
        <is>
          <t xml:space="preserve">Покупка активов</t>
        </is>
      </c>
      <c r="B25" s="2">
        <f>B23</f>
        <v>0</v>
      </c>
      <c r="C25" s="2">
        <f>C23</f>
        <v>120000</v>
      </c>
      <c r="D25" s="2">
        <f>D23</f>
        <v>0</v>
      </c>
      <c r="E25" s="2">
        <f>E23</f>
        <v>0</v>
      </c>
      <c r="F25" s="2">
        <f>F23</f>
        <v>0</v>
      </c>
      <c r="G25" s="2">
        <f>G23</f>
        <v>0</v>
      </c>
      <c r="H25" s="2">
        <f>H23</f>
        <v>0</v>
      </c>
      <c r="I25" s="2">
        <f>I23</f>
        <v>0</v>
      </c>
      <c r="J25" s="2">
        <f>J23</f>
        <v>0</v>
      </c>
      <c r="K25" s="2">
        <f>K23</f>
        <v>0</v>
      </c>
      <c r="L25" s="2">
        <f>L23</f>
        <v>0</v>
      </c>
      <c r="M25" s="2">
        <f>M23</f>
        <v>0</v>
      </c>
      <c r="N25" s="2">
        <f>SUM(B25:M25)</f>
        <v>120000</v>
      </c>
      <c r="O25" s="0" t="inlineStr">
        <is>
          <t xml:space="preserve">Денежный поток</t>
        </is>
      </c>
    </row>
    <row r="26" ht="55" customHeight="1">
      <c r="A26" s="5" t="inlineStr">
        <is>
          <t xml:space="preserve">Амортизация</t>
        </is>
      </c>
      <c r="B26" s="2">
        <f>(IF(AND(('Вводные'!$B$13&gt;0),(1&lt;='Вводные'!$B$13)),('Вводные'!$B$12/MAX(1,'Вводные'!$B$13)),0)+B24)</f>
        <v>0</v>
      </c>
      <c r="C26" s="2">
        <f>(IF(AND(('Вводные'!$B$13&gt;0),(2&lt;='Вводные'!$B$13)),('Вводные'!$B$12/MAX(1,'Вводные'!$B$13)),0)+C24)</f>
        <v>10000</v>
      </c>
      <c r="D26" s="2">
        <f>(IF(AND(('Вводные'!$B$13&gt;0),(3&lt;='Вводные'!$B$13)),('Вводные'!$B$12/MAX(1,'Вводные'!$B$13)),0)+D24)</f>
        <v>10000</v>
      </c>
      <c r="E26" s="2">
        <f>(IF(AND(('Вводные'!$B$13&gt;0),(4&lt;='Вводные'!$B$13)),('Вводные'!$B$12/MAX(1,'Вводные'!$B$13)),0)+E24)</f>
        <v>10000</v>
      </c>
      <c r="F26" s="2">
        <f>(IF(AND(('Вводные'!$B$13&gt;0),(5&lt;='Вводные'!$B$13)),('Вводные'!$B$12/MAX(1,'Вводные'!$B$13)),0)+F24)</f>
        <v>10000</v>
      </c>
      <c r="G26" s="2">
        <f>(IF(AND(('Вводные'!$B$13&gt;0),(6&lt;='Вводные'!$B$13)),('Вводные'!$B$12/MAX(1,'Вводные'!$B$13)),0)+G24)</f>
        <v>10000</v>
      </c>
      <c r="H26" s="2">
        <f>(IF(AND(('Вводные'!$B$13&gt;0),(7&lt;='Вводные'!$B$13)),('Вводные'!$B$12/MAX(1,'Вводные'!$B$13)),0)+H24)</f>
        <v>10000</v>
      </c>
      <c r="I26" s="2">
        <f>(IF(AND(('Вводные'!$B$13&gt;0),(8&lt;='Вводные'!$B$13)),('Вводные'!$B$12/MAX(1,'Вводные'!$B$13)),0)+I24)</f>
        <v>10000</v>
      </c>
      <c r="J26" s="2">
        <f>(IF(AND(('Вводные'!$B$13&gt;0),(9&lt;='Вводные'!$B$13)),('Вводные'!$B$12/MAX(1,'Вводные'!$B$13)),0)+J24)</f>
        <v>10000</v>
      </c>
      <c r="K26" s="2">
        <f>(IF(AND(('Вводные'!$B$13&gt;0),(10&lt;='Вводные'!$B$13)),('Вводные'!$B$12/MAX(1,'Вводные'!$B$13)),0)+K24)</f>
        <v>10000</v>
      </c>
      <c r="L26" s="2">
        <f>(IF(AND(('Вводные'!$B$13&gt;0),(11&lt;='Вводные'!$B$13)),('Вводные'!$B$12/MAX(1,'Вводные'!$B$13)),0)+L24)</f>
        <v>10000</v>
      </c>
      <c r="M26" s="2">
        <f>(IF(AND(('Вводные'!$B$13&gt;0),(12&lt;='Вводные'!$B$13)),('Вводные'!$B$12/MAX(1,'Вводные'!$B$13)),0)+M24)</f>
        <v>10000</v>
      </c>
      <c r="N26" s="2">
        <f>SUM(B26:M26)</f>
        <v>110000</v>
      </c>
      <c r="O26" s="0" t="inlineStr">
        <is>
          <t xml:space="preserve">Стоимость / срок в месяцах, начиная с месяца покупки. Покупка уменьшает деньги, амортизация — прибыль.</t>
        </is>
      </c>
    </row>
    <row r="27" ht="25" customHeight="1">
      <c r="A27" s="5" t="inlineStr">
        <is>
          <t xml:space="preserve">Операционная прибыль (EBIT)</t>
        </is>
      </c>
      <c r="B27" s="2">
        <f>(B22-B26)</f>
        <v>550000</v>
      </c>
      <c r="C27" s="2">
        <f>(C22-C26)</f>
        <v>540000</v>
      </c>
      <c r="D27" s="2">
        <f>(D22-D26)</f>
        <v>440000</v>
      </c>
      <c r="E27" s="2">
        <f>(E22-E26)</f>
        <v>540000</v>
      </c>
      <c r="F27" s="2">
        <f>(F22-F26)</f>
        <v>540000</v>
      </c>
      <c r="G27" s="2">
        <f>(G22-G26)</f>
        <v>540000</v>
      </c>
      <c r="H27" s="2">
        <f>(H22-H26)</f>
        <v>540000</v>
      </c>
      <c r="I27" s="2">
        <f>(I22-I26)</f>
        <v>540000</v>
      </c>
      <c r="J27" s="2">
        <f>(J22-J26)</f>
        <v>540000</v>
      </c>
      <c r="K27" s="2">
        <f>(K22-K26)</f>
        <v>540000</v>
      </c>
      <c r="L27" s="2">
        <f>(L22-L26)</f>
        <v>540000</v>
      </c>
      <c r="M27" s="2">
        <f>(M22-M26)</f>
        <v>540000</v>
      </c>
      <c r="N27" s="2">
        <f>SUM(B27:M27)</f>
        <v>6390000</v>
      </c>
      <c r="O27" s="0" t="inlineStr">
        <is>
          <t xml:space="preserve">Результат</t>
        </is>
      </c>
    </row>
    <row r="28" ht="25" customHeight="1">
      <c r="A28" s="5" t="inlineStr">
        <is>
          <t xml:space="preserve">Кредит на начало месяца</t>
        </is>
      </c>
      <c r="B28" s="2">
        <f>IF((1&lt;='Вводные'!$B$16),MAX(0,IF(((('Вводные'!$B$15/100)/12)&gt;0),(('Вводные'!$B$14*((1+(('Вводные'!$B$15/100)/12))^0))-(IF(((('Вводные'!$B$15/100)/12)&gt;0),(('Вводные'!$B$14*(('Вводные'!$B$15/100)/12))/(1-((1+(('Вводные'!$B$15/100)/12))^(-1*'Вводные'!$B$16)))),('Вводные'!$B$14/'Вводные'!$B$16))*((((1+(('Вводные'!$B$15/100)/12))^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0)))),0)</f>
        <v>120000</v>
      </c>
      <c r="C28" s="2">
        <f>IF((2&lt;='Вводные'!$B$16),MAX(0,IF(((('Вводные'!$B$15/100)/12)&gt;0),(('Вводные'!$B$14*((1+(('Вводные'!$B$15/100)/12))^1))-(IF(((('Вводные'!$B$15/100)/12)&gt;0),(('Вводные'!$B$14*(('Вводные'!$B$15/100)/12))/(1-((1+(('Вводные'!$B$15/100)/12))^(-1*'Вводные'!$B$16)))),('Вводные'!$B$14/'Вводные'!$B$16))*((((1+(('Вводные'!$B$15/100)/12))^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1)))),0)</f>
        <v>110538.145358599</v>
      </c>
      <c r="D28" s="2">
        <f>IF((3&lt;='Вводные'!$B$16),MAX(0,IF(((('Вводные'!$B$15/100)/12)&gt;0),(('Вводные'!$B$14*((1+(('Вводные'!$B$15/100)/12))^2))-(IF(((('Вводные'!$B$15/100)/12)&gt;0),(('Вводные'!$B$14*(('Вводные'!$B$15/100)/12))/(1-((1+(('Вводные'!$B$15/100)/12))^(-1*'Вводные'!$B$16)))),('Вводные'!$B$14/'Вводные'!$B$16))*((((1+(('Вводные'!$B$15/100)/12))^2)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2)))),0)</f>
        <v>100981.672170784</v>
      </c>
      <c r="E28" s="2">
        <f>IF((4&lt;='Вводные'!$B$16),MAX(0,IF(((('Вводные'!$B$15/100)/12)&gt;0),(('Вводные'!$B$14*((1+(('Вводные'!$B$15/100)/12))^3))-(IF(((('Вводные'!$B$15/100)/12)&gt;0),(('Вводные'!$B$14*(('Вводные'!$B$15/100)/12))/(1-((1+(('Вводные'!$B$15/100)/12))^(-1*'Вводные'!$B$16)))),('Вводные'!$B$14/'Вводные'!$B$16))*((((1+(('Вводные'!$B$15/100)/12))^3)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3)))),0)</f>
        <v>91329.63425109073</v>
      </c>
      <c r="F28" s="2">
        <f>IF((5&lt;='Вводные'!$B$16),MAX(0,IF(((('Вводные'!$B$15/100)/12)&gt;0),(('Вводные'!$B$14*((1+(('Вводные'!$B$15/100)/12))^4))-(IF(((('Вводные'!$B$15/100)/12)&gt;0),(('Вводные'!$B$14*(('Вводные'!$B$15/100)/12))/(1-((1+(('Вводные'!$B$15/100)/12))^(-1*'Вводные'!$B$16)))),('Вводные'!$B$14/'Вводные'!$B$16))*((((1+(('Вводные'!$B$15/100)/12))^4)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4)))),0)</f>
        <v>81581.07595220074</v>
      </c>
      <c r="G28" s="2">
        <f>IF((6&lt;='Вводные'!$B$16),MAX(0,IF(((('Вводные'!$B$15/100)/12)&gt;0),(('Вводные'!$B$14*((1+(('Вводные'!$B$15/100)/12))^5))-(IF(((('Вводные'!$B$15/100)/12)&gt;0),(('Вводные'!$B$14*(('Вводные'!$B$15/100)/12))/(1-((1+(('Вводные'!$B$15/100)/12))^(-1*'Вводные'!$B$16)))),('Вводные'!$B$14/'Вводные'!$B$16))*((((1+(('Вводные'!$B$15/100)/12))^5)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5)))),0)</f>
        <v>71735.03207032164</v>
      </c>
      <c r="H28" s="2">
        <f>IF((7&lt;='Вводные'!$B$16),MAX(0,IF(((('Вводные'!$B$15/100)/12)&gt;0),(('Вводные'!$B$14*((1+(('Вводные'!$B$15/100)/12))^6))-(IF(((('Вводные'!$B$15/100)/12)&gt;0),(('Вводные'!$B$14*(('Вводные'!$B$15/100)/12))/(1-((1+(('Вводные'!$B$15/100)/12))^(-1*'Вводные'!$B$16)))),('Вводные'!$B$14/'Вводные'!$B$16))*((((1+(('Вводные'!$B$15/100)/12))^6)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6)))),0)</f>
        <v>61790.52774962387</v>
      </c>
      <c r="I28" s="2">
        <f>IF((8&lt;='Вводные'!$B$16),MAX(0,IF(((('Вводные'!$B$15/100)/12)&gt;0),(('Вводные'!$B$14*((1+(('Вводные'!$B$15/100)/12))^7))-(IF(((('Вводные'!$B$15/100)/12)&gt;0),(('Вводные'!$B$14*(('Вводные'!$B$15/100)/12))/(1-((1+(('Вводные'!$B$15/100)/12))^(-1*'Вводные'!$B$16)))),('Вводные'!$B$14/'Вводные'!$B$16))*((((1+(('Вводные'!$B$15/100)/12))^7)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7)))),0)</f>
        <v>51746.578385719215</v>
      </c>
      <c r="J28" s="2">
        <f>IF((9&lt;='Вводные'!$B$16),MAX(0,IF(((('Вводные'!$B$15/100)/12)&gt;0),(('Вводные'!$B$14*((1+(('Вводные'!$B$15/100)/12))^8))-(IF(((('Вводные'!$B$15/100)/12)&gt;0),(('Вводные'!$B$14*(('Вводные'!$B$15/100)/12))/(1-((1+(('Вводные'!$B$15/100)/12))^(-1*'Вводные'!$B$16)))),('Вводные'!$B$14/'Вводные'!$B$16))*((((1+(('Вводные'!$B$15/100)/12))^8)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8)))),0)</f>
        <v>41602.18952817534</v>
      </c>
      <c r="K28" s="2">
        <f>IF((10&lt;='Вводные'!$B$16),MAX(0,IF(((('Вводные'!$B$15/100)/12)&gt;0),(('Вводные'!$B$14*((1+(('Вводные'!$B$15/100)/12))^9))-(IF(((('Вводные'!$B$15/100)/12)&gt;0),(('Вводные'!$B$14*(('Вводные'!$B$15/100)/12))/(1-((1+(('Вводные'!$B$15/100)/12))^(-1*'Вводные'!$B$16)))),('Вводные'!$B$14/'Вводные'!$B$16))*((((1+(('Вводные'!$B$15/100)/12))^9)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9)))),0)</f>
        <v>31356.35678205623</v>
      </c>
      <c r="L28" s="2">
        <f>IF((11&lt;='Вводные'!$B$16),MAX(0,IF(((('Вводные'!$B$15/100)/12)&gt;0),(('Вводные'!$B$14*((1+(('Вводные'!$B$15/100)/12))^10))-(IF(((('Вводные'!$B$15/100)/12)&gt;0),(('Вводные'!$B$14*(('Вводные'!$B$15/100)/12))/(1-((1+(('Вводные'!$B$15/100)/12))^(-1*'Вводные'!$B$16)))),('Вводные'!$B$14/'Вводные'!$B$16))*((((1+(('Вводные'!$B$15/100)/12))^10)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10)))),0)</f>
        <v>21008.065708475784</v>
      </c>
      <c r="M28" s="2">
        <f>IF((12&lt;='Вводные'!$B$16),MAX(0,IF(((('Вводные'!$B$15/100)/12)&gt;0),(('Вводные'!$B$14*((1+(('Вводные'!$B$15/100)/12))^11))-(IF(((('Вводные'!$B$15/100)/12)&gt;0),(('Вводные'!$B$14*(('Вводные'!$B$15/100)/12))/(1-((1+(('Вводные'!$B$15/100)/12))^(-1*'Вводные'!$B$16)))),('Вводные'!$B$14/'Вводные'!$B$16))*((((1+(('Вводные'!$B$15/100)/12))^11)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11)))),0)</f>
        <v>10556.291724159557</v>
      </c>
      <c r="N28" s="2">
        <f>M28</f>
        <v>10556.291724159557</v>
      </c>
      <c r="O28" s="0" t="inlineStr">
        <is>
          <t xml:space="preserve">Кредит</t>
        </is>
      </c>
    </row>
    <row r="29" ht="25" customHeight="1">
      <c r="A29" s="5" t="inlineStr">
        <is>
          <t xml:space="preserve">Проценты по кредиту</t>
        </is>
      </c>
      <c r="B29" s="2">
        <f>(B28*(('Вводные'!$B$15/100)/12))</f>
        <v>1200</v>
      </c>
      <c r="C29" s="2">
        <f>(C28*(('Вводные'!$B$15/100)/12))</f>
        <v>1105.38145358599</v>
      </c>
      <c r="D29" s="2">
        <f>(D28*(('Вводные'!$B$15/100)/12))</f>
        <v>1009.8167217078401</v>
      </c>
      <c r="E29" s="2">
        <f>(E28*(('Вводные'!$B$15/100)/12))</f>
        <v>913.2963425109073</v>
      </c>
      <c r="F29" s="2">
        <f>(F28*(('Вводные'!$B$15/100)/12))</f>
        <v>815.8107595220074</v>
      </c>
      <c r="G29" s="2">
        <f>(G28*(('Вводные'!$B$15/100)/12))</f>
        <v>717.3503207032164</v>
      </c>
      <c r="H29" s="2">
        <f>(H28*(('Вводные'!$B$15/100)/12))</f>
        <v>617.9052774962387</v>
      </c>
      <c r="I29" s="2">
        <f>(I28*(('Вводные'!$B$15/100)/12))</f>
        <v>517.4657838571922</v>
      </c>
      <c r="J29" s="2">
        <f>(J28*(('Вводные'!$B$15/100)/12))</f>
        <v>416.0218952817534</v>
      </c>
      <c r="K29" s="2">
        <f>(K28*(('Вводные'!$B$15/100)/12))</f>
        <v>313.5635678205623</v>
      </c>
      <c r="L29" s="2">
        <f>(L28*(('Вводные'!$B$15/100)/12))</f>
        <v>210.08065708475783</v>
      </c>
      <c r="M29" s="2">
        <f>(M28*(('Вводные'!$B$15/100)/12))</f>
        <v>105.56291724159557</v>
      </c>
      <c r="N29" s="2">
        <f>SUM(B29:M29)</f>
        <v>7942.255696812061</v>
      </c>
      <c r="O29" s="0" t="inlineStr">
        <is>
          <t xml:space="preserve">Результат</t>
        </is>
      </c>
    </row>
    <row r="30" ht="55" customHeight="1">
      <c r="A30" s="5" t="inlineStr">
        <is>
          <t xml:space="preserve">Погашение тела кредита</t>
        </is>
      </c>
      <c r="B30" s="2">
        <f>IF((1&lt;='Вводные'!$B$16),MIN(B28,MAX(0,(IF(((('Вводные'!$B$15/100)/12)&gt;0),(('Вводные'!$B$14*(('Вводные'!$B$15/100)/12))/(1-((1+(('Вводные'!$B$15/100)/12))^(-1*'Вводные'!$B$16)))),('Вводные'!$B$14/'Вводные'!$B$16))-B29))),0)</f>
        <v>9461.854641400992</v>
      </c>
      <c r="C30" s="2">
        <f>IF((2&lt;='Вводные'!$B$16),MIN(C28,MAX(0,(IF(((('Вводные'!$B$15/100)/12)&gt;0),(('Вводные'!$B$14*(('Вводные'!$B$15/100)/12))/(1-((1+(('Вводные'!$B$15/100)/12))^(-1*'Вводные'!$B$16)))),('Вводные'!$B$14/'Вводные'!$B$16))-C29))),0)</f>
        <v>9556.473187815003</v>
      </c>
      <c r="D30" s="2">
        <f>IF((3&lt;='Вводные'!$B$16),MIN(D28,MAX(0,(IF(((('Вводные'!$B$15/100)/12)&gt;0),(('Вводные'!$B$14*(('Вводные'!$B$15/100)/12))/(1-((1+(('Вводные'!$B$15/100)/12))^(-1*'Вводные'!$B$16)))),('Вводные'!$B$14/'Вводные'!$B$16))-D29))),0)</f>
        <v>9652.037919693152</v>
      </c>
      <c r="E30" s="2">
        <f>IF((4&lt;='Вводные'!$B$16),MIN(E28,MAX(0,(IF(((('Вводные'!$B$15/100)/12)&gt;0),(('Вводные'!$B$14*(('Вводные'!$B$15/100)/12))/(1-((1+(('Вводные'!$B$15/100)/12))^(-1*'Вводные'!$B$16)))),('Вводные'!$B$14/'Вводные'!$B$16))-E29))),0)</f>
        <v>9748.558298890086</v>
      </c>
      <c r="F30" s="2">
        <f>IF((5&lt;='Вводные'!$B$16),MIN(F28,MAX(0,(IF(((('Вводные'!$B$15/100)/12)&gt;0),(('Вводные'!$B$14*(('Вводные'!$B$15/100)/12))/(1-((1+(('Вводные'!$B$15/100)/12))^(-1*'Вводные'!$B$16)))),('Вводные'!$B$14/'Вводные'!$B$16))-F29))),0)</f>
        <v>9846.043881878984</v>
      </c>
      <c r="G30" s="2">
        <f>IF((6&lt;='Вводные'!$B$16),MIN(G28,MAX(0,(IF(((('Вводные'!$B$15/100)/12)&gt;0),(('Вводные'!$B$14*(('Вводные'!$B$15/100)/12))/(1-((1+(('Вводные'!$B$15/100)/12))^(-1*'Вводные'!$B$16)))),('Вводные'!$B$14/'Вводные'!$B$16))-G29))),0)</f>
        <v>9944.504320697775</v>
      </c>
      <c r="H30" s="2">
        <f>IF((7&lt;='Вводные'!$B$16),MIN(H28,MAX(0,(IF(((('Вводные'!$B$15/100)/12)&gt;0),(('Вводные'!$B$14*(('Вводные'!$B$15/100)/12))/(1-((1+(('Вводные'!$B$15/100)/12))^(-1*'Вводные'!$B$16)))),('Вводные'!$B$14/'Вводные'!$B$16))-H29))),0)</f>
        <v>10043.949363904754</v>
      </c>
      <c r="I30" s="2">
        <f>IF((8&lt;='Вводные'!$B$16),MIN(I28,MAX(0,(IF(((('Вводные'!$B$15/100)/12)&gt;0),(('Вводные'!$B$14*(('Вводные'!$B$15/100)/12))/(1-((1+(('Вводные'!$B$15/100)/12))^(-1*'Вводные'!$B$16)))),('Вводные'!$B$14/'Вводные'!$B$16))-I29))),0)</f>
        <v>10144.3888575438</v>
      </c>
      <c r="J30" s="2">
        <f>IF((9&lt;='Вводные'!$B$16),MIN(J28,MAX(0,(IF(((('Вводные'!$B$15/100)/12)&gt;0),(('Вводные'!$B$14*(('Вводные'!$B$15/100)/12))/(1-((1+(('Вводные'!$B$15/100)/12))^(-1*'Вводные'!$B$16)))),('Вводные'!$B$14/'Вводные'!$B$16))-J29))),0)</f>
        <v>10245.832746119238</v>
      </c>
      <c r="K30" s="2">
        <f>IF((10&lt;='Вводные'!$B$16),MIN(K28,MAX(0,(IF(((('Вводные'!$B$15/100)/12)&gt;0),(('Вводные'!$B$14*(('Вводные'!$B$15/100)/12))/(1-((1+(('Вводные'!$B$15/100)/12))^(-1*'Вводные'!$B$16)))),('Вводные'!$B$14/'Вводные'!$B$16))-K29))),0)</f>
        <v>10348.29107358043</v>
      </c>
      <c r="L30" s="2">
        <f>IF((11&lt;='Вводные'!$B$16),MIN(L28,MAX(0,(IF(((('Вводные'!$B$15/100)/12)&gt;0),(('Вводные'!$B$14*(('Вводные'!$B$15/100)/12))/(1-((1+(('Вводные'!$B$15/100)/12))^(-1*'Вводные'!$B$16)))),('Вводные'!$B$14/'Вводные'!$B$16))-L29))),0)</f>
        <v>10451.773984316234</v>
      </c>
      <c r="M30" s="2">
        <f>IF((12&lt;='Вводные'!$B$16),MIN(M28,MAX(0,(IF(((('Вводные'!$B$15/100)/12)&gt;0),(('Вводные'!$B$14*(('Вводные'!$B$15/100)/12))/(1-((1+(('Вводные'!$B$15/100)/12))^(-1*'Вводные'!$B$16)))),('Вводные'!$B$14/'Вводные'!$B$16))-M29))),0)</f>
        <v>10556.291724159397</v>
      </c>
      <c r="N30" s="2">
        <f>SUM(B30:M30)</f>
        <v>119999.99999999987</v>
      </c>
      <c r="O30" s="0" t="inlineStr">
        <is>
          <t xml:space="preserve">Аннуитетный платёж − проценты. Тело кредита уменьшает деньги, но не прибыль.</t>
        </is>
      </c>
    </row>
    <row r="31" ht="25" customHeight="1">
      <c r="A31" s="5" t="inlineStr">
        <is>
          <t xml:space="preserve">Кредит на конец месяца</t>
        </is>
      </c>
      <c r="B31" s="2">
        <f>MAX(0,(B28-B30))</f>
        <v>110538.14535859901</v>
      </c>
      <c r="C31" s="2">
        <f>MAX(0,(C28-C30))</f>
        <v>100981.67217078399</v>
      </c>
      <c r="D31" s="2">
        <f>MAX(0,(D28-D30))</f>
        <v>91329.63425109086</v>
      </c>
      <c r="E31" s="2">
        <f>MAX(0,(E28-E30))</f>
        <v>81581.07595220064</v>
      </c>
      <c r="F31" s="2">
        <f>MAX(0,(F28-F30))</f>
        <v>71735.03207032176</v>
      </c>
      <c r="G31" s="2">
        <f>MAX(0,(G28-G30))</f>
        <v>61790.52774962387</v>
      </c>
      <c r="H31" s="2">
        <f>MAX(0,(H28-H30))</f>
        <v>51746.57838571911</v>
      </c>
      <c r="I31" s="2">
        <f>MAX(0,(I28-I30))</f>
        <v>41602.18952817541</v>
      </c>
      <c r="J31" s="2">
        <f>MAX(0,(J28-J30))</f>
        <v>31356.3567820561</v>
      </c>
      <c r="K31" s="2">
        <f>MAX(0,(K28-K30))</f>
        <v>21008.0657084758</v>
      </c>
      <c r="L31" s="2">
        <f>MAX(0,(L28-L30))</f>
        <v>10556.29172415955</v>
      </c>
      <c r="M31" s="2">
        <f>MAX(0,(M28-M30))</f>
        <v>1.6007106751203537e-10</v>
      </c>
      <c r="N31" s="2">
        <f>M31</f>
        <v>1.6007106751203537e-10</v>
      </c>
      <c r="O31" s="0" t="inlineStr">
        <is>
          <t xml:space="preserve">Кредит</t>
        </is>
      </c>
    </row>
    <row r="32" ht="25" customHeight="1">
      <c r="A32" s="5" t="inlineStr">
        <is>
          <t xml:space="preserve">Прибыль до налога</t>
        </is>
      </c>
      <c r="B32" s="2">
        <f>(B27-B29)</f>
        <v>548800</v>
      </c>
      <c r="C32" s="2">
        <f>(C27-C29)</f>
        <v>538894.618546414</v>
      </c>
      <c r="D32" s="2">
        <f>(D27-D29)</f>
        <v>438990.1832782922</v>
      </c>
      <c r="E32" s="2">
        <f>(E27-E29)</f>
        <v>539086.703657489</v>
      </c>
      <c r="F32" s="2">
        <f>(F27-F29)</f>
        <v>539184.189240478</v>
      </c>
      <c r="G32" s="2">
        <f>(G27-G29)</f>
        <v>539282.6496792968</v>
      </c>
      <c r="H32" s="2">
        <f>(H27-H29)</f>
        <v>539382.0947225038</v>
      </c>
      <c r="I32" s="2">
        <f>(I27-I29)</f>
        <v>539482.5342161428</v>
      </c>
      <c r="J32" s="2">
        <f>(J27-J29)</f>
        <v>539583.9781047183</v>
      </c>
      <c r="K32" s="2">
        <f>(K27-K29)</f>
        <v>539686.4364321794</v>
      </c>
      <c r="L32" s="2">
        <f>(L27-L29)</f>
        <v>539789.9193429153</v>
      </c>
      <c r="M32" s="2">
        <f>(M27-M29)</f>
        <v>539894.4370827584</v>
      </c>
      <c r="N32" s="2">
        <f>SUM(B32:M32)</f>
        <v>6382057.744303187</v>
      </c>
      <c r="O32" s="0" t="inlineStr">
        <is>
          <t xml:space="preserve">Результат</t>
        </is>
      </c>
    </row>
    <row r="33" ht="55" customHeight="1">
      <c r="A33" s="5" t="inlineStr">
        <is>
          <t xml:space="preserve">Условный налог</t>
        </is>
      </c>
      <c r="B33" s="2">
        <f>IF(('Вводные'!$B$6="none"),0,(IF(('Вводные'!$B$6="revenue"),B8,MAX(0,B32))*('Вводные'!$B$7/100)))</f>
        <v>30000</v>
      </c>
      <c r="C33" s="2">
        <f>IF(('Вводные'!$B$6="none"),0,(IF(('Вводные'!$B$6="revenue"),C8,MAX(0,C32))*('Вводные'!$B$7/100)))</f>
        <v>30000</v>
      </c>
      <c r="D33" s="2">
        <f>IF(('Вводные'!$B$6="none"),0,(IF(('Вводные'!$B$6="revenue"),D8,MAX(0,D32))*('Вводные'!$B$7/100)))</f>
        <v>30000</v>
      </c>
      <c r="E33" s="2">
        <f>IF(('Вводные'!$B$6="none"),0,(IF(('Вводные'!$B$6="revenue"),E8,MAX(0,E32))*('Вводные'!$B$7/100)))</f>
        <v>30000</v>
      </c>
      <c r="F33" s="2">
        <f>IF(('Вводные'!$B$6="none"),0,(IF(('Вводные'!$B$6="revenue"),F8,MAX(0,F32))*('Вводные'!$B$7/100)))</f>
        <v>30000</v>
      </c>
      <c r="G33" s="2">
        <f>IF(('Вводные'!$B$6="none"),0,(IF(('Вводные'!$B$6="revenue"),G8,MAX(0,G32))*('Вводные'!$B$7/100)))</f>
        <v>30000</v>
      </c>
      <c r="H33" s="2">
        <f>IF(('Вводные'!$B$6="none"),0,(IF(('Вводные'!$B$6="revenue"),H8,MAX(0,H32))*('Вводные'!$B$7/100)))</f>
        <v>30000</v>
      </c>
      <c r="I33" s="2">
        <f>IF(('Вводные'!$B$6="none"),0,(IF(('Вводные'!$B$6="revenue"),I8,MAX(0,I32))*('Вводные'!$B$7/100)))</f>
        <v>30000</v>
      </c>
      <c r="J33" s="2">
        <f>IF(('Вводные'!$B$6="none"),0,(IF(('Вводные'!$B$6="revenue"),J8,MAX(0,J32))*('Вводные'!$B$7/100)))</f>
        <v>30000</v>
      </c>
      <c r="K33" s="2">
        <f>IF(('Вводные'!$B$6="none"),0,(IF(('Вводные'!$B$6="revenue"),K8,MAX(0,K32))*('Вводные'!$B$7/100)))</f>
        <v>30000</v>
      </c>
      <c r="L33" s="2">
        <f>IF(('Вводные'!$B$6="none"),0,(IF(('Вводные'!$B$6="revenue"),L8,MAX(0,L32))*('Вводные'!$B$7/100)))</f>
        <v>30000</v>
      </c>
      <c r="M33" s="2">
        <f>IF(('Вводные'!$B$6="none"),0,(IF(('Вводные'!$B$6="revenue"),M8,MAX(0,M32))*('Вводные'!$B$7/100)))</f>
        <v>30000</v>
      </c>
      <c r="N33" s="2">
        <f>SUM(B33:M33)</f>
        <v>360000</v>
      </c>
      <c r="O33" s="0" t="inlineStr">
        <is>
          <t xml:space="preserve">Ваша ставка × оборот или положительная прибыль месяца. Без переноса убытков. Оплата в том же месяце.</t>
        </is>
      </c>
    </row>
    <row r="34" ht="55" customHeight="1">
      <c r="A34" s="5" t="inlineStr">
        <is>
          <t xml:space="preserve">Чистая прибыль</t>
        </is>
      </c>
      <c r="B34" s="2">
        <f>(B32-B33)</f>
        <v>518800</v>
      </c>
      <c r="C34" s="2">
        <f>(C32-C33)</f>
        <v>508894.61854641396</v>
      </c>
      <c r="D34" s="2">
        <f>(D32-D33)</f>
        <v>408990.1832782922</v>
      </c>
      <c r="E34" s="2">
        <f>(E32-E33)</f>
        <v>509086.70365748904</v>
      </c>
      <c r="F34" s="2">
        <f>(F32-F33)</f>
        <v>509184.189240478</v>
      </c>
      <c r="G34" s="2">
        <f>(G32-G33)</f>
        <v>509282.64967929677</v>
      </c>
      <c r="H34" s="2">
        <f>(H32-H33)</f>
        <v>509382.0947225038</v>
      </c>
      <c r="I34" s="2">
        <f>(I32-I33)</f>
        <v>509482.53421614284</v>
      </c>
      <c r="J34" s="2">
        <f>(J32-J33)</f>
        <v>509583.97810471826</v>
      </c>
      <c r="K34" s="2">
        <f>(K32-K33)</f>
        <v>509686.4364321794</v>
      </c>
      <c r="L34" s="2">
        <f>(L32-L33)</f>
        <v>509789.9193429153</v>
      </c>
      <c r="M34" s="2">
        <f>(M32-M33)</f>
        <v>509894.4370827584</v>
      </c>
      <c r="N34" s="2">
        <f>SUM(B34:M34)</f>
        <v>6022057.744303187</v>
      </c>
      <c r="O34" s="0" t="inlineStr">
        <is>
          <t xml:space="preserve">Выручка − себестоимость − команда − маркетинг − прочие − амортизация − проценты − налог.</t>
        </is>
      </c>
    </row>
    <row r="35" ht="25" customHeight="1">
      <c r="A35" s="5" t="inlineStr">
        <is>
          <t xml:space="preserve">Все расходы в прибыли</t>
        </is>
      </c>
      <c r="B35" s="2">
        <f>(B8-B34)</f>
        <v>481200</v>
      </c>
      <c r="C35" s="2">
        <f>(C8-C34)</f>
        <v>491105.38145358604</v>
      </c>
      <c r="D35" s="2">
        <f>(D8-D34)</f>
        <v>591009.8167217078</v>
      </c>
      <c r="E35" s="2">
        <f>(E8-E34)</f>
        <v>490913.29634251096</v>
      </c>
      <c r="F35" s="2">
        <f>(F8-F34)</f>
        <v>490815.810759522</v>
      </c>
      <c r="G35" s="2">
        <f>(G8-G34)</f>
        <v>490717.35032070323</v>
      </c>
      <c r="H35" s="2">
        <f>(H8-H34)</f>
        <v>490617.9052774962</v>
      </c>
      <c r="I35" s="2">
        <f>(I8-I34)</f>
        <v>490517.46578385716</v>
      </c>
      <c r="J35" s="2">
        <f>(J8-J34)</f>
        <v>490416.02189528174</v>
      </c>
      <c r="K35" s="2">
        <f>(K8-K34)</f>
        <v>490313.5635678206</v>
      </c>
      <c r="L35" s="2">
        <f>(L8-L34)</f>
        <v>490210.0806570847</v>
      </c>
      <c r="M35" s="2">
        <f>(M8-M34)</f>
        <v>490105.5629172416</v>
      </c>
      <c r="N35" s="2">
        <f>SUM(B35:M35)</f>
        <v>5977942.255696813</v>
      </c>
      <c r="O35" s="0" t="inlineStr">
        <is>
          <t xml:space="preserve">Результат</t>
        </is>
      </c>
    </row>
    <row r="36" ht="25" customHeight="1">
      <c r="A36" s="5" t="inlineStr">
        <is>
          <t xml:space="preserve">Оплата от клиентов</t>
        </is>
      </c>
      <c r="B36" s="2">
        <f>IF(1-'Вводные'!$B$8&gt;0,INDEX($B$8:$M$8,1,MAX(1,1-'Вводные'!$B$8)),0)</f>
        <v>0</v>
      </c>
      <c r="C36" s="2">
        <f>IF(2-'Вводные'!$B$8&gt;0,INDEX($B$8:$M$8,1,MAX(1,2-'Вводные'!$B$8)),0)</f>
        <v>1000000</v>
      </c>
      <c r="D36" s="2">
        <f>IF(3-'Вводные'!$B$8&gt;0,INDEX($B$8:$M$8,1,MAX(1,3-'Вводные'!$B$8)),0)</f>
        <v>1000000</v>
      </c>
      <c r="E36" s="2">
        <f>IF(4-'Вводные'!$B$8&gt;0,INDEX($B$8:$M$8,1,MAX(1,4-'Вводные'!$B$8)),0)</f>
        <v>1000000</v>
      </c>
      <c r="F36" s="2">
        <f>IF(5-'Вводные'!$B$8&gt;0,INDEX($B$8:$M$8,1,MAX(1,5-'Вводные'!$B$8)),0)</f>
        <v>1000000</v>
      </c>
      <c r="G36" s="2">
        <f>IF(6-'Вводные'!$B$8&gt;0,INDEX($B$8:$M$8,1,MAX(1,6-'Вводные'!$B$8)),0)</f>
        <v>1000000</v>
      </c>
      <c r="H36" s="2">
        <f>IF(7-'Вводные'!$B$8&gt;0,INDEX($B$8:$M$8,1,MAX(1,7-'Вводные'!$B$8)),0)</f>
        <v>1000000</v>
      </c>
      <c r="I36" s="2">
        <f>IF(8-'Вводные'!$B$8&gt;0,INDEX($B$8:$M$8,1,MAX(1,8-'Вводные'!$B$8)),0)</f>
        <v>1000000</v>
      </c>
      <c r="J36" s="2">
        <f>IF(9-'Вводные'!$B$8&gt;0,INDEX($B$8:$M$8,1,MAX(1,9-'Вводные'!$B$8)),0)</f>
        <v>1000000</v>
      </c>
      <c r="K36" s="2">
        <f>IF(10-'Вводные'!$B$8&gt;0,INDEX($B$8:$M$8,1,MAX(1,10-'Вводные'!$B$8)),0)</f>
        <v>1000000</v>
      </c>
      <c r="L36" s="2">
        <f>IF(11-'Вводные'!$B$8&gt;0,INDEX($B$8:$M$8,1,MAX(1,11-'Вводные'!$B$8)),0)</f>
        <v>1000000</v>
      </c>
      <c r="M36" s="2">
        <f>IF(12-'Вводные'!$B$8&gt;0,INDEX($B$8:$M$8,1,MAX(1,12-'Вводные'!$B$8)),0)</f>
        <v>1000000</v>
      </c>
      <c r="N36" s="2">
        <f>SUM(B36:M36)</f>
        <v>11000000</v>
      </c>
      <c r="O36" s="0" t="inlineStr">
        <is>
          <t xml:space="preserve">Денежный поток</t>
        </is>
      </c>
    </row>
    <row r="37" ht="25" customHeight="1">
      <c r="A37" s="5" t="inlineStr">
        <is>
          <t xml:space="preserve">Оплата себестоимости</t>
        </is>
      </c>
      <c r="B37" s="2">
        <f>IF(1-'Вводные'!$B$9&gt;0,INDEX($B$9:$M$9,1,MAX(1,1-'Вводные'!$B$9)),0)</f>
        <v>0</v>
      </c>
      <c r="C37" s="2">
        <f>IF(2-'Вводные'!$B$9&gt;0,INDEX($B$9:$M$9,1,MAX(1,2-'Вводные'!$B$9)),0)</f>
        <v>0</v>
      </c>
      <c r="D37" s="2">
        <f>IF(3-'Вводные'!$B$9&gt;0,INDEX($B$9:$M$9,1,MAX(1,3-'Вводные'!$B$9)),0)</f>
        <v>400000</v>
      </c>
      <c r="E37" s="2">
        <f>IF(4-'Вводные'!$B$9&gt;0,INDEX($B$9:$M$9,1,MAX(1,4-'Вводные'!$B$9)),0)</f>
        <v>400000</v>
      </c>
      <c r="F37" s="2">
        <f>IF(5-'Вводные'!$B$9&gt;0,INDEX($B$9:$M$9,1,MAX(1,5-'Вводные'!$B$9)),0)</f>
        <v>400000</v>
      </c>
      <c r="G37" s="2">
        <f>IF(6-'Вводные'!$B$9&gt;0,INDEX($B$9:$M$9,1,MAX(1,6-'Вводные'!$B$9)),0)</f>
        <v>400000</v>
      </c>
      <c r="H37" s="2">
        <f>IF(7-'Вводные'!$B$9&gt;0,INDEX($B$9:$M$9,1,MAX(1,7-'Вводные'!$B$9)),0)</f>
        <v>400000</v>
      </c>
      <c r="I37" s="2">
        <f>IF(8-'Вводные'!$B$9&gt;0,INDEX($B$9:$M$9,1,MAX(1,8-'Вводные'!$B$9)),0)</f>
        <v>400000</v>
      </c>
      <c r="J37" s="2">
        <f>IF(9-'Вводные'!$B$9&gt;0,INDEX($B$9:$M$9,1,MAX(1,9-'Вводные'!$B$9)),0)</f>
        <v>400000</v>
      </c>
      <c r="K37" s="2">
        <f>IF(10-'Вводные'!$B$9&gt;0,INDEX($B$9:$M$9,1,MAX(1,10-'Вводные'!$B$9)),0)</f>
        <v>400000</v>
      </c>
      <c r="L37" s="2">
        <f>IF(11-'Вводные'!$B$9&gt;0,INDEX($B$9:$M$9,1,MAX(1,11-'Вводные'!$B$9)),0)</f>
        <v>400000</v>
      </c>
      <c r="M37" s="2">
        <f>IF(12-'Вводные'!$B$9&gt;0,INDEX($B$9:$M$9,1,MAX(1,12-'Вводные'!$B$9)),0)</f>
        <v>400000</v>
      </c>
      <c r="N37" s="2">
        <f>SUM(B37:M37)</f>
        <v>4000000</v>
      </c>
      <c r="O37" s="0" t="inlineStr">
        <is>
          <t xml:space="preserve">Денежный поток</t>
        </is>
      </c>
    </row>
    <row r="38" ht="25" customHeight="1">
      <c r="A38" s="5" t="inlineStr">
        <is>
          <t xml:space="preserve">Дебиторская задолженность</t>
        </is>
      </c>
      <c r="B38" s="2">
        <f>(0+(B8-B36))</f>
        <v>1000000</v>
      </c>
      <c r="C38" s="2">
        <f>(B38+(C8-C36))</f>
        <v>1000000</v>
      </c>
      <c r="D38" s="2">
        <f>(C38+(D8-D36))</f>
        <v>1000000</v>
      </c>
      <c r="E38" s="2">
        <f>(D38+(E8-E36))</f>
        <v>1000000</v>
      </c>
      <c r="F38" s="2">
        <f>(E38+(F8-F36))</f>
        <v>1000000</v>
      </c>
      <c r="G38" s="2">
        <f>(F38+(G8-G36))</f>
        <v>1000000</v>
      </c>
      <c r="H38" s="2">
        <f>(G38+(H8-H36))</f>
        <v>1000000</v>
      </c>
      <c r="I38" s="2">
        <f>(H38+(I8-I36))</f>
        <v>1000000</v>
      </c>
      <c r="J38" s="2">
        <f>(I38+(J8-J36))</f>
        <v>1000000</v>
      </c>
      <c r="K38" s="2">
        <f>(J38+(K8-K36))</f>
        <v>1000000</v>
      </c>
      <c r="L38" s="2">
        <f>(K38+(L8-L36))</f>
        <v>1000000</v>
      </c>
      <c r="M38" s="2">
        <f>(L38+(M8-M36))</f>
        <v>1000000</v>
      </c>
      <c r="N38" s="2">
        <f>M38</f>
        <v>1000000</v>
      </c>
      <c r="O38" s="0" t="inlineStr">
        <is>
          <t xml:space="preserve">Оборотный капитал</t>
        </is>
      </c>
    </row>
    <row r="39" ht="25" customHeight="1">
      <c r="A39" s="5" t="inlineStr">
        <is>
          <t xml:space="preserve">Кредиторская задолженность</t>
        </is>
      </c>
      <c r="B39" s="2">
        <f>(0+(B9-B37))</f>
        <v>400000</v>
      </c>
      <c r="C39" s="2">
        <f>(B39+(C9-C37))</f>
        <v>800000</v>
      </c>
      <c r="D39" s="2">
        <f>(C39+(D9-D37))</f>
        <v>800000</v>
      </c>
      <c r="E39" s="2">
        <f>(D39+(E9-E37))</f>
        <v>800000</v>
      </c>
      <c r="F39" s="2">
        <f>(E39+(F9-F37))</f>
        <v>800000</v>
      </c>
      <c r="G39" s="2">
        <f>(F39+(G9-G37))</f>
        <v>800000</v>
      </c>
      <c r="H39" s="2">
        <f>(G39+(H9-H37))</f>
        <v>800000</v>
      </c>
      <c r="I39" s="2">
        <f>(H39+(I9-I37))</f>
        <v>800000</v>
      </c>
      <c r="J39" s="2">
        <f>(I39+(J9-J37))</f>
        <v>800000</v>
      </c>
      <c r="K39" s="2">
        <f>(J39+(K9-K37))</f>
        <v>800000</v>
      </c>
      <c r="L39" s="2">
        <f>(K39+(L9-L37))</f>
        <v>800000</v>
      </c>
      <c r="M39" s="2">
        <f>(L39+(M9-M37))</f>
        <v>800000</v>
      </c>
      <c r="N39" s="2">
        <f>M39</f>
        <v>800000</v>
      </c>
      <c r="O39" s="0" t="inlineStr">
        <is>
          <t xml:space="preserve">Оборотный капитал</t>
        </is>
      </c>
    </row>
    <row r="40" ht="55" customHeight="1">
      <c r="A40" s="5" t="inlineStr">
        <is>
          <t xml:space="preserve">Операционный денежный поток</t>
        </is>
      </c>
      <c r="B40" s="2">
        <f>((B36-B37)-((B21+B29)+B33))</f>
        <v>-81200</v>
      </c>
      <c r="C40" s="2">
        <f>((C36-C37)-((C21+C29)+C33))</f>
        <v>918894.618546414</v>
      </c>
      <c r="D40" s="2">
        <f>((D36-D37)-((D21+D29)+D33))</f>
        <v>418990.1832782922</v>
      </c>
      <c r="E40" s="2">
        <f>((E36-E37)-((E21+E29)+E33))</f>
        <v>519086.7036574891</v>
      </c>
      <c r="F40" s="2">
        <f>((F36-F37)-((F21+F29)+F33))</f>
        <v>519184.189240478</v>
      </c>
      <c r="G40" s="2">
        <f>((G36-G37)-((G21+G29)+G33))</f>
        <v>519282.64967929677</v>
      </c>
      <c r="H40" s="2">
        <f>((H36-H37)-((H21+H29)+H33))</f>
        <v>519382.0947225038</v>
      </c>
      <c r="I40" s="2">
        <f>((I36-I37)-((I21+I29)+I33))</f>
        <v>519482.53421614284</v>
      </c>
      <c r="J40" s="2">
        <f>((J36-J37)-((J21+J29)+J33))</f>
        <v>519583.97810471826</v>
      </c>
      <c r="K40" s="2">
        <f>((K36-K37)-((K21+K29)+K33))</f>
        <v>519686.4364321794</v>
      </c>
      <c r="L40" s="2">
        <f>((L36-L37)-((L21+L29)+L33))</f>
        <v>519789.91934291524</v>
      </c>
      <c r="M40" s="2">
        <f>((M36-M37)-((M21+M29)+M33))</f>
        <v>519894.4370827584</v>
      </c>
      <c r="N40" s="2">
        <f>SUM(B40:M40)</f>
        <v>5932057.744303187</v>
      </c>
      <c r="O40" s="0" t="inlineStr">
        <is>
          <t xml:space="preserve">Оплата клиентов − оплаченная себестоимость − операционные расходы − проценты − налог. Без амортизации.</t>
        </is>
      </c>
    </row>
    <row r="41" ht="55" customHeight="1">
      <c r="A41" s="5" t="inlineStr">
        <is>
          <t xml:space="preserve">Изменение денег за месяц</t>
        </is>
      </c>
      <c r="B41" s="2">
        <f>((B40-B25)-B30)</f>
        <v>-90661.85464140099</v>
      </c>
      <c r="C41" s="2">
        <f>((C40-C25)-C30)</f>
        <v>789338.1453585989</v>
      </c>
      <c r="D41" s="2">
        <f>((D40-D25)-D30)</f>
        <v>409338.145358599</v>
      </c>
      <c r="E41" s="2">
        <f>((E40-E25)-E30)</f>
        <v>509338.145358599</v>
      </c>
      <c r="F41" s="2">
        <f>((F40-F25)-F30)</f>
        <v>509338.145358599</v>
      </c>
      <c r="G41" s="2">
        <f>((G40-G25)-G30)</f>
        <v>509338.14535859897</v>
      </c>
      <c r="H41" s="2">
        <f>((H40-H25)-H30)</f>
        <v>509338.145358599</v>
      </c>
      <c r="I41" s="2">
        <f>((I40-I25)-I30)</f>
        <v>509338.145358599</v>
      </c>
      <c r="J41" s="2">
        <f>((J40-J25)-J30)</f>
        <v>509338.145358599</v>
      </c>
      <c r="K41" s="2">
        <f>((K40-K25)-K30)</f>
        <v>509338.14535859897</v>
      </c>
      <c r="L41" s="2">
        <f>((L40-L25)-L30)</f>
        <v>509338.145358599</v>
      </c>
      <c r="M41" s="2">
        <f>((M40-M25)-M30)</f>
        <v>509338.145358599</v>
      </c>
      <c r="N41" s="2">
        <f>SUM(B41:M41)</f>
        <v>5692057.744303186</v>
      </c>
      <c r="O41" s="0" t="inlineStr">
        <is>
          <t xml:space="preserve">Операционный поток − покупка активов − тело кредита.</t>
        </is>
      </c>
    </row>
    <row r="42" ht="55" customHeight="1">
      <c r="A42" s="5" t="inlineStr">
        <is>
          <t xml:space="preserve">Деньги на конец месяца</t>
        </is>
      </c>
      <c r="B42" s="2">
        <f>(((('Вводные'!$B$10+'Вводные'!$B$11)+'Вводные'!$B$14)-'Вводные'!$B$12)+B41)</f>
        <v>129338.14535859901</v>
      </c>
      <c r="C42" s="2">
        <f>(B42+C41)</f>
        <v>918676.2907171979</v>
      </c>
      <c r="D42" s="2">
        <f>(C42+D41)</f>
        <v>1328014.4360757968</v>
      </c>
      <c r="E42" s="2">
        <f>(D42+E41)</f>
        <v>1837352.5814343959</v>
      </c>
      <c r="F42" s="2">
        <f>(E42+F41)</f>
        <v>2346690.726792995</v>
      </c>
      <c r="G42" s="2">
        <f>(F42+G41)</f>
        <v>2856028.8721515937</v>
      </c>
      <c r="H42" s="2">
        <f>(G42+H41)</f>
        <v>3365367.0175101925</v>
      </c>
      <c r="I42" s="2">
        <f>(H42+I41)</f>
        <v>3874705.1628687913</v>
      </c>
      <c r="J42" s="2">
        <f>(I42+J41)</f>
        <v>4384043.30822739</v>
      </c>
      <c r="K42" s="2">
        <f>(J42+K41)</f>
        <v>4893381.453585989</v>
      </c>
      <c r="L42" s="2">
        <f>(K42+L41)</f>
        <v>5402719.598944588</v>
      </c>
      <c r="M42" s="2">
        <f>(L42+M41)</f>
        <v>5912057.744303186</v>
      </c>
      <c r="N42" s="2">
        <f>M42</f>
        <v>5912057.744303186</v>
      </c>
      <c r="O42" s="0" t="inlineStr">
        <is>
          <t xml:space="preserve">Старт = деньги на начало + взнос собственника + кредит − начальные вложения. Затем прибавляется изменение денег.</t>
        </is>
      </c>
    </row>
    <row r="43" ht="55" customHeight="1">
      <c r="A43" s="5" t="inlineStr">
        <is>
          <t xml:space="preserve">Покрытие вложений, накопленно</t>
        </is>
      </c>
      <c r="B43" s="2">
        <f>((-1*'Вводные'!$B$12)+(B40-B25))</f>
        <v>-81200</v>
      </c>
      <c r="C43" s="2">
        <f>(B43+(C40-C25))</f>
        <v>717694.618546414</v>
      </c>
      <c r="D43" s="2">
        <f>(C43+(D40-D25))</f>
        <v>1136684.8018247061</v>
      </c>
      <c r="E43" s="2">
        <f>(D43+(E40-E25))</f>
        <v>1655771.5054821952</v>
      </c>
      <c r="F43" s="2">
        <f>(E43+(F40-F25))</f>
        <v>2174955.694722673</v>
      </c>
      <c r="G43" s="2">
        <f>(F43+(G40-G25))</f>
        <v>2694238.3444019696</v>
      </c>
      <c r="H43" s="2">
        <f>(G43+(H40-H25))</f>
        <v>3213620.4391244734</v>
      </c>
      <c r="I43" s="2">
        <f>(H43+(I40-I25))</f>
        <v>3733102.973340616</v>
      </c>
      <c r="J43" s="2">
        <f>(I43+(J40-J25))</f>
        <v>4252686.951445335</v>
      </c>
      <c r="K43" s="2">
        <f>(J43+(K40-K25))</f>
        <v>4772373.387877514</v>
      </c>
      <c r="L43" s="2">
        <f>(K43+(L40-L25))</f>
        <v>5292163.307220429</v>
      </c>
      <c r="M43" s="2">
        <f>(L43+(M40-M25))</f>
        <v>5812057.744303187</v>
      </c>
      <c r="N43" s="2">
        <f>M43</f>
        <v>5812057.744303187</v>
      </c>
      <c r="O43" s="0" t="inlineStr">
        <is>
          <t xml:space="preserve">Накопленный операционный поток − вложения. Без взносов, выдачи и тела кредита; после процентов. Поздние покупки могут снова уменьшить показатель.</t>
        </is>
      </c>
    </row>
    <row r="44" ht="25" customHeight="1">
      <c r="A44" s="5" t="inlineStr">
        <is>
          <t xml:space="preserve">Маржа чистой прибыли</t>
        </is>
      </c>
      <c r="B44" s="3">
        <f>IF(B8&gt;0,B34/B8,"")</f>
        <v>0.5188</v>
      </c>
      <c r="C44" s="3">
        <f>IF(C8&gt;0,C34/C8,"")</f>
        <v>0.5088946185464139</v>
      </c>
      <c r="D44" s="3">
        <f>IF(D8&gt;0,D34/D8,"")</f>
        <v>0.4089901832782922</v>
      </c>
      <c r="E44" s="3">
        <f>IF(E8&gt;0,E34/E8,"")</f>
        <v>0.5090867036574891</v>
      </c>
      <c r="F44" s="3">
        <f>IF(F8&gt;0,F34/F8,"")</f>
        <v>0.5091841892404779</v>
      </c>
      <c r="G44" s="3">
        <f>IF(G8&gt;0,G34/G8,"")</f>
        <v>0.5092826496792968</v>
      </c>
      <c r="H44" s="3">
        <f>IF(H8&gt;0,H34/H8,"")</f>
        <v>0.5093820947225038</v>
      </c>
      <c r="I44" s="3">
        <f>IF(I8&gt;0,I34/I8,"")</f>
        <v>0.5094825342161429</v>
      </c>
      <c r="J44" s="3">
        <f>IF(J8&gt;0,J34/J8,"")</f>
        <v>0.5095839781047182</v>
      </c>
      <c r="K44" s="3">
        <f>IF(K8&gt;0,K34/K8,"")</f>
        <v>0.5096864364321794</v>
      </c>
      <c r="L44" s="3">
        <f>IF(L8&gt;0,L34/L8,"")</f>
        <v>0.5097899193429153</v>
      </c>
      <c r="M44" s="3">
        <f>IF(M8&gt;0,M34/M8,"")</f>
        <v>0.5098944370827584</v>
      </c>
      <c r="N44" s="3">
        <f>IF(N8&gt;0,N34/N8,"")</f>
        <v>0.5018381453585989</v>
      </c>
    </row>
    <row r="45" ht="25" customHeight="1">
      <c r="A45" s="5" t="inlineStr">
        <is>
          <t xml:space="preserve">CAC: стоимость клиента</t>
        </is>
      </c>
      <c r="B45" s="2" t="str">
        <f>IF(B16&gt;0,B14/B16,"")</f>
        <v/>
      </c>
      <c r="C45" s="2" t="str">
        <f>IF(C16&gt;0,C14/C16,"")</f>
        <v/>
      </c>
      <c r="D45" s="2" t="str">
        <f>IF(D16&gt;0,D14/D16,"")</f>
        <v/>
      </c>
      <c r="E45" s="2" t="str">
        <f>IF(E16&gt;0,E14/E16,"")</f>
        <v/>
      </c>
      <c r="F45" s="2" t="str">
        <f>IF(F16&gt;0,F14/F16,"")</f>
        <v/>
      </c>
      <c r="G45" s="2" t="str">
        <f>IF(G16&gt;0,G14/G16,"")</f>
        <v/>
      </c>
      <c r="H45" s="2" t="str">
        <f>IF(H16&gt;0,H14/H16,"")</f>
        <v/>
      </c>
      <c r="I45" s="2" t="str">
        <f>IF(I16&gt;0,I14/I16,"")</f>
        <v/>
      </c>
      <c r="J45" s="2" t="str">
        <f>IF(J16&gt;0,J14/J16,"")</f>
        <v/>
      </c>
      <c r="K45" s="2" t="str">
        <f>IF(K16&gt;0,K14/K16,"")</f>
        <v/>
      </c>
      <c r="L45" s="2" t="str">
        <f>IF(L16&gt;0,L14/L16,"")</f>
        <v/>
      </c>
      <c r="M45" s="2" t="str">
        <f>IF(M16&gt;0,M14/M16,"")</f>
        <v/>
      </c>
      <c r="N45" s="2" t="str">
        <f>IF(N16&gt;0,N14/N16,"")</f>
        <v/>
      </c>
    </row>
    <row r="46" ht="25" customHeight="1">
      <c r="A46" s="5" t="inlineStr">
        <is>
          <t xml:space="preserve">CPL: стоимость заявки</t>
        </is>
      </c>
      <c r="B46" s="2" t="str">
        <f>IF(B15&gt;0,B14/B15,"")</f>
        <v/>
      </c>
      <c r="C46" s="2" t="str">
        <f>IF(C15&gt;0,C14/C15,"")</f>
        <v/>
      </c>
      <c r="D46" s="2" t="str">
        <f>IF(D15&gt;0,D14/D15,"")</f>
        <v/>
      </c>
      <c r="E46" s="2" t="str">
        <f>IF(E15&gt;0,E14/E15,"")</f>
        <v/>
      </c>
      <c r="F46" s="2" t="str">
        <f>IF(F15&gt;0,F14/F15,"")</f>
        <v/>
      </c>
      <c r="G46" s="2" t="str">
        <f>IF(G15&gt;0,G14/G15,"")</f>
        <v/>
      </c>
      <c r="H46" s="2" t="str">
        <f>IF(H15&gt;0,H14/H15,"")</f>
        <v/>
      </c>
      <c r="I46" s="2" t="str">
        <f>IF(I15&gt;0,I14/I15,"")</f>
        <v/>
      </c>
      <c r="J46" s="2" t="str">
        <f>IF(J15&gt;0,J14/J15,"")</f>
        <v/>
      </c>
      <c r="K46" s="2" t="str">
        <f>IF(K15&gt;0,K14/K15,"")</f>
        <v/>
      </c>
      <c r="L46" s="2" t="str">
        <f>IF(L15&gt;0,L14/L15,"")</f>
        <v/>
      </c>
      <c r="M46" s="2" t="str">
        <f>IF(M15&gt;0,M14/M15,"")</f>
        <v/>
      </c>
      <c r="N46" s="2" t="str">
        <f>IF(N15&gt;0,N14/N15,"")</f>
        <v/>
      </c>
    </row>
    <row r="47" ht="25" customHeight="1">
      <c r="A47" s="5" t="inlineStr">
        <is>
          <t xml:space="preserve">ROAS: рекламная выручка / бюджет</t>
        </is>
      </c>
      <c r="B47" s="4" t="str">
        <f>IF(B14&gt;0,B17/B14,"")</f>
        <v/>
      </c>
      <c r="C47" s="4" t="str">
        <f>IF(C14&gt;0,C17/C14,"")</f>
        <v/>
      </c>
      <c r="D47" s="4" t="str">
        <f>IF(D14&gt;0,D17/D14,"")</f>
        <v/>
      </c>
      <c r="E47" s="4" t="str">
        <f>IF(E14&gt;0,E17/E14,"")</f>
        <v/>
      </c>
      <c r="F47" s="4" t="str">
        <f>IF(F14&gt;0,F17/F14,"")</f>
        <v/>
      </c>
      <c r="G47" s="4" t="str">
        <f>IF(G14&gt;0,G17/G14,"")</f>
        <v/>
      </c>
      <c r="H47" s="4" t="str">
        <f>IF(H14&gt;0,H17/H14,"")</f>
        <v/>
      </c>
      <c r="I47" s="4" t="str">
        <f>IF(I14&gt;0,I17/I14,"")</f>
        <v/>
      </c>
      <c r="J47" s="4" t="str">
        <f>IF(J14&gt;0,J17/J14,"")</f>
        <v/>
      </c>
      <c r="K47" s="4" t="str">
        <f>IF(K14&gt;0,K17/K14,"")</f>
        <v/>
      </c>
      <c r="L47" s="4" t="str">
        <f>IF(L14&gt;0,L17/L14,"")</f>
        <v/>
      </c>
      <c r="M47" s="4" t="str">
        <f>IF(M14&gt;0,M17/M14,"")</f>
        <v/>
      </c>
      <c r="N47" s="4" t="str">
        <f>IF(N14&gt;0,N17/N14,"")</f>
        <v/>
      </c>
    </row>
    <row r="48" ht="25" customHeight="1">
      <c r="A48" s="5" t="inlineStr">
        <is>
          <t xml:space="preserve">Стартовый остаток</t>
        </is>
      </c>
      <c r="N48" s="2">
        <f>('Вводные'!B10+'Вводные'!B11+'Вводные'!B14-'Вводные'!B12)</f>
        <v>220000</v>
      </c>
    </row>
    <row r="49" ht="55" customHeight="1">
      <c r="A49" s="5" t="inlineStr">
        <is>
          <t xml:space="preserve">Дополнительное финансирование</t>
        </is>
      </c>
      <c r="N49" s="2">
        <f>MAX(0,-MIN(('Вводные'!B10+'Вводные'!B11+'Вводные'!B14-'Вводные'!B12),B42:M42))</f>
        <v>0</v>
      </c>
      <c r="O49" s="0" t="inlineStr">
        <is>
          <t xml:space="preserve">По минимуму остатка на старте и концах месяцев; внутримесячные разрывы не оцениваются.</t>
        </is>
      </c>
    </row>
    <row r="50" ht="55" customHeight="1">
      <c r="A50" s="5" t="inlineStr">
        <is>
          <t xml:space="preserve">Безубыточная выручка М1</t>
        </is>
      </c>
      <c r="N50" s="2">
        <f>IF((1-IF('Вводные'!B4="manual",'Вводные'!B5/100,IF(B8&gt;0,B9/B8,1))-(IF(AND('Вводные'!B38="percent",'Вводные'!B41=1),'Вводные'!B39/100,0)+IF(AND('Вводные'!B44="percent",'Вводные'!B47=1),'Вводные'!B45/100,0)+0)-IF('Вводные'!B6="revenue",'Вводные'!B7/100,0))&gt;0,(B21-B8*(IF(AND('Вводные'!B38="percent",'Вводные'!B41=1),'Вводные'!B39/100,0)+IF(AND('Вводные'!B44="percent",'Вводные'!B47=1),'Вводные'!B45/100,0)+0)+B26+B29)/(1-IF('Вводные'!B4="manual",'Вводные'!B5/100,IF(B8&gt;0,B9/B8,1))-(IF(AND('Вводные'!B38="percent",'Вводные'!B41=1),'Вводные'!B39/100,0)+IF(AND('Вводные'!B44="percent",'Вводные'!B47=1),'Вводные'!B45/100,0)+0)-IF('Вводные'!B6="revenue",'Вводные'!B7/100,0)),"")</f>
        <v>2307.692307692308</v>
      </c>
      <c r="O50" s="0" t="inlineStr">
        <is>
          <t xml:space="preserve">При структуре затрат и продаж первого месяца, включая амортизацию и проценты.</t>
        </is>
      </c>
    </row>
    <row r="51" ht="25" customHeight="1">
      <c r="A51" s="5" t="inlineStr">
        <is>
          <t xml:space="preserve">Первое покрытие вложений, месяц</t>
        </is>
      </c>
      <c r="N51" s="0">
        <f>IF(('Вводные'!B12+'Вводные'!B50)=0,0,IF(B43&gt;=0,1,IF(C43&gt;=0,2,IF(D43&gt;=0,3,IF(E43&gt;=0,4,IF(F43&gt;=0,5,IF(G43&gt;=0,6,IF(H43&gt;=0,7,IF(I43&gt;=0,8,IF(J43&gt;=0,9,IF(K43&gt;=0,10,IF(L43&gt;=0,11,IF(M43&gt;=0,12,"Не достигнуто")))))))))))))</f>
        <v>2</v>
      </c>
    </row>
    <row r="52" ht="30" customHeight="1">
      <c r="A52" s="0" t="inlineStr">
        <is>
          <t xml:space="preserve">Источник: введённые пользователем допущения. Начальные данные — пример, не рыночный прогноз.</t>
        </is>
      </c>
    </row>
    <row r="53" ht="30" customHeight="1">
      <c r="A53" s="0" t="inlineStr">
        <is>
          <t xml:space="preserve">Выручка и затраты без НДС. Налоги и начисления вводятся пользователем. Без льгот и переноса убытков.</t>
        </is>
      </c>
    </row>
    <row r="54" ht="30" customHeight="1">
      <c r="A54" s="0" t="inlineStr">
        <is>
          <t xml:space="preserve">Кредит и взнос до М1. Аннуитет с М1, без комиссий и досрочных погашений.</t>
        </is>
      </c>
    </row>
    <row r="55" ht="30" customHeight="1">
      <c r="A55" s="0" t="inlineStr">
        <is>
          <t xml:space="preserve">Задержки оплаты: целые месяцы. Начальные дебиторская и кредиторская задолженности — 0.</t>
        </is>
      </c>
    </row>
    <row r="56" ht="30" customHeight="1">
      <c r="A56" s="0" t="inlineStr">
        <is>
          <t xml:space="preserve">Оценка рекламной выручки не добавляется к обороту. Укажите эти продажи в плане выручки.</t>
        </is>
      </c>
    </row>
    <row r="57" ht="30" customHeight="1">
      <c r="A57" s="0" t="inlineStr">
        <is>
          <t xml:space="preserve">Редактируйте значения на листе «Вводные». Формулы на листе «Модель» пересчитаются в Excel.</t>
        </is>
      </c>
    </row>
  </sheetData>
  <mergeCells count="8">
    <mergeCell ref="A1:O1"/>
    <mergeCell ref="A2:O2"/>
    <mergeCell ref="A52:O52"/>
    <mergeCell ref="A53:O53"/>
    <mergeCell ref="A54:O54"/>
    <mergeCell ref="A55:O55"/>
    <mergeCell ref="A56:O56"/>
    <mergeCell ref="A57:O57"/>
  </mergeCells>
</worksheet>
</file>

<file path=xl/worksheets/sheet2.xml><?xml version="1.0" encoding="utf-8"?>
<worksheet xmlns="http://schemas.openxmlformats.org/spreadsheetml/2006/main">
  <sheetViews>
    <sheetView workbookViewId="0" showGridLines="0">
      <pane xSplit="1" ySplit="3" topLeftCell="B4" activePane="bottomRight" state="frozen"/>
    </sheetView>
  </sheetViews>
  <cols>
    <col min="1" max="1" width="75" customWidth="1"/>
    <col min="2" max="2" width="26" customWidth="1"/>
    <col min="3" max="3" width="78" customWidth="1"/>
  </cols>
  <sheetData>
    <row r="1" ht="32" customHeight="1">
      <c r="A1" s="1" t="inlineStr">
        <is>
          <t xml:space="preserve">ВВОДНЫЕ / Мой бизнес</t>
        </is>
      </c>
    </row>
    <row r="2" ht="25" customHeight="1">
      <c r="A2" s="0" t="inlineStr">
        <is>
          <t xml:space="preserve">Редактируйте колонку B. Суммы в KZT. Проценты задаются числом: 10 = 10%.</t>
        </is>
      </c>
    </row>
    <row r="3" ht="25" customHeight="1">
      <c r="A3" s="1" t="inlineStr">
        <is>
          <t xml:space="preserve">Параметр</t>
        </is>
      </c>
      <c r="B3" s="1" t="inlineStr">
        <is>
          <t xml:space="preserve">Значение</t>
        </is>
      </c>
      <c r="C3" s="1" t="inlineStr">
        <is>
          <t xml:space="preserve">Пояснение</t>
        </is>
      </c>
    </row>
    <row r="4" ht="42" customHeight="1">
      <c r="A4" s="0" t="inlineStr">
        <is>
          <t xml:space="preserve">Способ ввода выручки</t>
        </is>
      </c>
      <c r="B4" s="6" t="inlineStr">
        <is>
          <t xml:space="preserve">manual</t>
        </is>
      </c>
      <c r="C4" s="0" t="inlineStr">
        <is>
          <t xml:space="preserve">items — товары; manual — ручной оборот</t>
        </is>
      </c>
    </row>
    <row r="5" ht="42" customHeight="1">
      <c r="A5" s="0" t="inlineStr">
        <is>
          <t xml:space="preserve">Себестоимость ручного оборота, %</t>
        </is>
      </c>
      <c r="B5" s="6">
        <v>40</v>
      </c>
      <c r="C5" s="0" t="inlineStr">
        <is>
          <t xml:space="preserve"/>
        </is>
      </c>
    </row>
    <row r="6" ht="42" customHeight="1">
      <c r="A6" s="0" t="inlineStr">
        <is>
          <t xml:space="preserve">База условного налога</t>
        </is>
      </c>
      <c r="B6" s="6" t="inlineStr">
        <is>
          <t xml:space="preserve">revenue</t>
        </is>
      </c>
      <c r="C6" s="0" t="inlineStr">
        <is>
          <t xml:space="preserve">profit — прибыль; revenue — оборот; none — без налога</t>
        </is>
      </c>
    </row>
    <row r="7" ht="42" customHeight="1">
      <c r="A7" s="0" t="inlineStr">
        <is>
          <t xml:space="preserve">Ставка налога, %</t>
        </is>
      </c>
      <c r="B7" s="6">
        <v>3</v>
      </c>
      <c r="C7" s="0" t="inlineStr">
        <is>
          <t xml:space="preserve"/>
        </is>
      </c>
    </row>
    <row r="8" ht="42" customHeight="1">
      <c r="A8" s="0" t="inlineStr">
        <is>
          <t xml:space="preserve">Оплата клиентов через, мес.</t>
        </is>
      </c>
      <c r="B8" s="6">
        <v>1</v>
      </c>
      <c r="C8" s="0" t="inlineStr">
        <is>
          <t xml:space="preserve">Целые месяцы от 0 до 12</t>
        </is>
      </c>
    </row>
    <row r="9" ht="42" customHeight="1">
      <c r="A9" s="0" t="inlineStr">
        <is>
          <t xml:space="preserve">Оплата себестоимости через, мес.</t>
        </is>
      </c>
      <c r="B9" s="6">
        <v>2</v>
      </c>
      <c r="C9" s="0" t="inlineStr">
        <is>
          <t xml:space="preserve">Целые месяцы от 0 до 12</t>
        </is>
      </c>
    </row>
    <row r="10" ht="42" customHeight="1">
      <c r="A10" s="0" t="inlineStr">
        <is>
          <t xml:space="preserve">Деньги на начало</t>
        </is>
      </c>
      <c r="B10" s="6">
        <v>100000</v>
      </c>
      <c r="C10" s="0" t="inlineStr">
        <is>
          <t xml:space="preserve"/>
        </is>
      </c>
    </row>
    <row r="11" ht="42" customHeight="1">
      <c r="A11" s="0" t="inlineStr">
        <is>
          <t xml:space="preserve">Взнос собственника до М1</t>
        </is>
      </c>
      <c r="B11" s="6">
        <v>0</v>
      </c>
      <c r="C11" s="0" t="inlineStr">
        <is>
          <t xml:space="preserve"/>
        </is>
      </c>
    </row>
    <row r="12" ht="42" customHeight="1">
      <c r="A12" s="0" t="inlineStr">
        <is>
          <t xml:space="preserve">Вложения до М1</t>
        </is>
      </c>
      <c r="B12" s="6">
        <v>0</v>
      </c>
      <c r="C12" s="0" t="inlineStr">
        <is>
          <t xml:space="preserve"/>
        </is>
      </c>
    </row>
    <row r="13" ht="42" customHeight="1">
      <c r="A13" s="0" t="inlineStr">
        <is>
          <t xml:space="preserve">Амортизация начальных вложений, мес. (0 — нет)</t>
        </is>
      </c>
      <c r="B13" s="6">
        <v>0</v>
      </c>
      <c r="C13" s="0" t="inlineStr">
        <is>
          <t xml:space="preserve">0 отключает амортизацию начальных вложений</t>
        </is>
      </c>
    </row>
    <row r="14" ht="42" customHeight="1">
      <c r="A14" s="0" t="inlineStr">
        <is>
          <t xml:space="preserve">Кредит до М1</t>
        </is>
      </c>
      <c r="B14" s="6">
        <v>120000</v>
      </c>
      <c r="C14" s="0" t="inlineStr">
        <is>
          <t xml:space="preserve"/>
        </is>
      </c>
    </row>
    <row r="15" ht="42" customHeight="1">
      <c r="A15" s="0" t="inlineStr">
        <is>
          <t xml:space="preserve">Годовая ставка кредита, %</t>
        </is>
      </c>
      <c r="B15" s="6">
        <v>12</v>
      </c>
      <c r="C15" s="0" t="inlineStr">
        <is>
          <t xml:space="preserve"/>
        </is>
      </c>
    </row>
    <row r="16" ht="42" customHeight="1">
      <c r="A16" s="0" t="inlineStr">
        <is>
          <t xml:space="preserve">Срок кредита, мес.</t>
        </is>
      </c>
      <c r="B16" s="6">
        <v>12</v>
      </c>
      <c r="C16" s="0" t="inlineStr">
        <is>
          <t xml:space="preserve"/>
        </is>
      </c>
    </row>
    <row r="17" ht="42" customHeight="1">
      <c r="A17" s="0" t="inlineStr">
        <is>
          <t xml:space="preserve">Множитель сценария</t>
        </is>
      </c>
      <c r="B17" s="6">
        <v>1</v>
      </c>
      <c r="C17" s="0" t="inlineStr">
        <is>
          <t xml:space="preserve">База: 1; осторожный: 0.8; оптимистичный: 1.2</t>
        </is>
      </c>
    </row>
    <row r="18" ht="42" customHeight="1">
      <c r="A18" s="0" t="inlineStr">
        <is>
          <t xml:space="preserve">Ручной оборот · М1</t>
        </is>
      </c>
      <c r="B18" s="6">
        <v>1000000</v>
      </c>
      <c r="C18" s="0" t="inlineStr">
        <is>
          <t xml:space="preserve"/>
        </is>
      </c>
    </row>
    <row r="19" ht="42" customHeight="1">
      <c r="A19" s="0" t="inlineStr">
        <is>
          <t xml:space="preserve">Ручной оборот · М2</t>
        </is>
      </c>
      <c r="B19" s="6">
        <v>1000000</v>
      </c>
      <c r="C19" s="0" t="inlineStr">
        <is>
          <t xml:space="preserve"/>
        </is>
      </c>
    </row>
    <row r="20" ht="42" customHeight="1">
      <c r="A20" s="0" t="inlineStr">
        <is>
          <t xml:space="preserve">Ручной оборот · М3</t>
        </is>
      </c>
      <c r="B20" s="6">
        <v>1000000</v>
      </c>
      <c r="C20" s="0" t="inlineStr">
        <is>
          <t xml:space="preserve"/>
        </is>
      </c>
    </row>
    <row r="21" ht="42" customHeight="1">
      <c r="A21" s="0" t="inlineStr">
        <is>
          <t xml:space="preserve">Ручной оборот · М4</t>
        </is>
      </c>
      <c r="B21" s="6">
        <v>1000000</v>
      </c>
      <c r="C21" s="0" t="inlineStr">
        <is>
          <t xml:space="preserve"/>
        </is>
      </c>
    </row>
    <row r="22" ht="42" customHeight="1">
      <c r="A22" s="0" t="inlineStr">
        <is>
          <t xml:space="preserve">Ручной оборот · М5</t>
        </is>
      </c>
      <c r="B22" s="6">
        <v>1000000</v>
      </c>
      <c r="C22" s="0" t="inlineStr">
        <is>
          <t xml:space="preserve"/>
        </is>
      </c>
    </row>
    <row r="23" ht="42" customHeight="1">
      <c r="A23" s="0" t="inlineStr">
        <is>
          <t xml:space="preserve">Ручной оборот · М6</t>
        </is>
      </c>
      <c r="B23" s="6">
        <v>1000000</v>
      </c>
      <c r="C23" s="0" t="inlineStr">
        <is>
          <t xml:space="preserve"/>
        </is>
      </c>
    </row>
    <row r="24" ht="42" customHeight="1">
      <c r="A24" s="0" t="inlineStr">
        <is>
          <t xml:space="preserve">Ручной оборот · М7</t>
        </is>
      </c>
      <c r="B24" s="6">
        <v>1000000</v>
      </c>
      <c r="C24" s="0" t="inlineStr">
        <is>
          <t xml:space="preserve"/>
        </is>
      </c>
    </row>
    <row r="25" ht="42" customHeight="1">
      <c r="A25" s="0" t="inlineStr">
        <is>
          <t xml:space="preserve">Ручной оборот · М8</t>
        </is>
      </c>
      <c r="B25" s="6">
        <v>1000000</v>
      </c>
      <c r="C25" s="0" t="inlineStr">
        <is>
          <t xml:space="preserve"/>
        </is>
      </c>
    </row>
    <row r="26" ht="42" customHeight="1">
      <c r="A26" s="0" t="inlineStr">
        <is>
          <t xml:space="preserve">Ручной оборот · М9</t>
        </is>
      </c>
      <c r="B26" s="6">
        <v>1000000</v>
      </c>
      <c r="C26" s="0" t="inlineStr">
        <is>
          <t xml:space="preserve"/>
        </is>
      </c>
    </row>
    <row r="27" ht="42" customHeight="1">
      <c r="A27" s="0" t="inlineStr">
        <is>
          <t xml:space="preserve">Ручной оборот · М10</t>
        </is>
      </c>
      <c r="B27" s="6">
        <v>1000000</v>
      </c>
      <c r="C27" s="0" t="inlineStr">
        <is>
          <t xml:space="preserve"/>
        </is>
      </c>
    </row>
    <row r="28" ht="42" customHeight="1">
      <c r="A28" s="0" t="inlineStr">
        <is>
          <t xml:space="preserve">Ручной оборот · М11</t>
        </is>
      </c>
      <c r="B28" s="6">
        <v>1000000</v>
      </c>
      <c r="C28" s="0" t="inlineStr">
        <is>
          <t xml:space="preserve"/>
        </is>
      </c>
    </row>
    <row r="29" ht="42" customHeight="1">
      <c r="A29" s="0" t="inlineStr">
        <is>
          <t xml:space="preserve">Ручной оборот · М12</t>
        </is>
      </c>
      <c r="B29" s="6">
        <v>1000000</v>
      </c>
      <c r="C29" s="0" t="inlineStr">
        <is>
          <t xml:space="preserve"/>
        </is>
      </c>
    </row>
    <row r="30" ht="42" customHeight="1">
      <c r="A30" s="0" t="inlineStr">
        <is>
          <t xml:space="preserve">Основной продукт · Название</t>
        </is>
      </c>
      <c r="B30" s="6" t="inlineStr">
        <is>
          <t xml:space="preserve">Основной продукт</t>
        </is>
      </c>
      <c r="C30" s="0" t="inlineStr">
        <is>
          <t xml:space="preserve"/>
        </is>
      </c>
    </row>
    <row r="31" ht="42" customHeight="1">
      <c r="A31" s="0" t="inlineStr">
        <is>
          <t xml:space="preserve">Основной продукт · Количество в первый активный месяц</t>
        </is>
      </c>
      <c r="B31" s="6">
        <v>300</v>
      </c>
      <c r="C31" s="0" t="inlineStr">
        <is>
          <t xml:space="preserve"/>
        </is>
      </c>
    </row>
    <row r="32" ht="42" customHeight="1">
      <c r="A32" s="0" t="inlineStr">
        <is>
          <t xml:space="preserve">Основной продукт · Цена</t>
        </is>
      </c>
      <c r="B32" s="6">
        <v>8500</v>
      </c>
      <c r="C32" s="0" t="inlineStr">
        <is>
          <t xml:space="preserve"/>
        </is>
      </c>
    </row>
    <row r="33" ht="42" customHeight="1">
      <c r="A33" s="0" t="inlineStr">
        <is>
          <t xml:space="preserve">Основной продукт · Рост в месяц, %</t>
        </is>
      </c>
      <c r="B33" s="6">
        <v>4</v>
      </c>
      <c r="C33" s="0" t="inlineStr">
        <is>
          <t xml:space="preserve"/>
        </is>
      </c>
    </row>
    <row r="34" ht="42" customHeight="1">
      <c r="A34" s="0" t="inlineStr">
        <is>
          <t xml:space="preserve">Основной продукт · Себестоимость, % выручки</t>
        </is>
      </c>
      <c r="B34" s="6">
        <v>35</v>
      </c>
      <c r="C34" s="0" t="inlineStr">
        <is>
          <t xml:space="preserve"/>
        </is>
      </c>
    </row>
    <row r="35" ht="42" customHeight="1">
      <c r="A35" s="0" t="inlineStr">
        <is>
          <t xml:space="preserve">Основной продукт · С месяца</t>
        </is>
      </c>
      <c r="B35" s="6">
        <v>1</v>
      </c>
      <c r="C35" s="0" t="inlineStr">
        <is>
          <t xml:space="preserve"/>
        </is>
      </c>
    </row>
    <row r="36" ht="42" customHeight="1">
      <c r="A36" s="0" t="inlineStr">
        <is>
          <t xml:space="preserve">Основной продукт · По месяц</t>
        </is>
      </c>
      <c r="B36" s="6">
        <v>12</v>
      </c>
      <c r="C36" s="0" t="inlineStr">
        <is>
          <t xml:space="preserve"/>
        </is>
      </c>
    </row>
    <row r="37" ht="42" customHeight="1">
      <c r="A37" s="0" t="inlineStr">
        <is>
          <t xml:space="preserve">Комиссия · Название</t>
        </is>
      </c>
      <c r="B37" s="6" t="inlineStr">
        <is>
          <t xml:space="preserve">Комиссия</t>
        </is>
      </c>
      <c r="C37" s="0" t="inlineStr">
        <is>
          <t xml:space="preserve"/>
        </is>
      </c>
    </row>
    <row r="38" ht="42" customHeight="1">
      <c r="A38" s="0" t="inlineStr">
        <is>
          <t xml:space="preserve">Комиссия · Способ расчёта</t>
        </is>
      </c>
      <c r="B38" s="6" t="inlineStr">
        <is>
          <t xml:space="preserve">percent</t>
        </is>
      </c>
      <c r="C38" s="0" t="inlineStr">
        <is>
          <t xml:space="preserve">fixed — сумма; percent — % оборота; once — один раз</t>
        </is>
      </c>
    </row>
    <row r="39" ht="42" customHeight="1">
      <c r="A39" s="0" t="inlineStr">
        <is>
          <t xml:space="preserve">Комиссия · Сумма или ставка</t>
        </is>
      </c>
      <c r="B39" s="6">
        <v>5</v>
      </c>
      <c r="C39" s="0" t="inlineStr">
        <is>
          <t xml:space="preserve"/>
        </is>
      </c>
    </row>
    <row r="40" ht="42" customHeight="1">
      <c r="A40" s="0" t="inlineStr">
        <is>
          <t xml:space="preserve">Комиссия · Рост в месяц, %</t>
        </is>
      </c>
      <c r="B40" s="6">
        <v>0</v>
      </c>
      <c r="C40" s="0" t="inlineStr">
        <is>
          <t xml:space="preserve"/>
        </is>
      </c>
    </row>
    <row r="41" ht="42" customHeight="1">
      <c r="A41" s="0" t="inlineStr">
        <is>
          <t xml:space="preserve">Комиссия · С месяца</t>
        </is>
      </c>
      <c r="B41" s="6">
        <v>1</v>
      </c>
      <c r="C41" s="0" t="inlineStr">
        <is>
          <t xml:space="preserve"/>
        </is>
      </c>
    </row>
    <row r="42" ht="42" customHeight="1">
      <c r="A42" s="0" t="inlineStr">
        <is>
          <t xml:space="preserve">Комиссия · По месяц</t>
        </is>
      </c>
      <c r="B42" s="6">
        <v>12</v>
      </c>
      <c r="C42" s="0" t="inlineStr">
        <is>
          <t xml:space="preserve"/>
        </is>
      </c>
    </row>
    <row r="43" ht="42" customHeight="1">
      <c r="A43" s="0" t="inlineStr">
        <is>
          <t xml:space="preserve">Разовый · Название</t>
        </is>
      </c>
      <c r="B43" s="6" t="inlineStr">
        <is>
          <t xml:space="preserve">Разовый</t>
        </is>
      </c>
      <c r="C43" s="0" t="inlineStr">
        <is>
          <t xml:space="preserve"/>
        </is>
      </c>
    </row>
    <row r="44" ht="42" customHeight="1">
      <c r="A44" s="0" t="inlineStr">
        <is>
          <t xml:space="preserve">Разовый · Способ расчёта</t>
        </is>
      </c>
      <c r="B44" s="6" t="inlineStr">
        <is>
          <t xml:space="preserve">once</t>
        </is>
      </c>
      <c r="C44" s="0" t="inlineStr">
        <is>
          <t xml:space="preserve">fixed — сумма; percent — % оборота; once — один раз</t>
        </is>
      </c>
    </row>
    <row r="45" ht="42" customHeight="1">
      <c r="A45" s="0" t="inlineStr">
        <is>
          <t xml:space="preserve">Разовый · Сумма или ставка</t>
        </is>
      </c>
      <c r="B45" s="6">
        <v>100000</v>
      </c>
      <c r="C45" s="0" t="inlineStr">
        <is>
          <t xml:space="preserve"/>
        </is>
      </c>
    </row>
    <row r="46" ht="42" customHeight="1">
      <c r="A46" s="0" t="inlineStr">
        <is>
          <t xml:space="preserve">Разовый · Рост в месяц, %</t>
        </is>
      </c>
      <c r="B46" s="6">
        <v>0</v>
      </c>
      <c r="C46" s="0" t="inlineStr">
        <is>
          <t xml:space="preserve"/>
        </is>
      </c>
    </row>
    <row r="47" ht="42" customHeight="1">
      <c r="A47" s="0" t="inlineStr">
        <is>
          <t xml:space="preserve">Разовый · С месяца</t>
        </is>
      </c>
      <c r="B47" s="6">
        <v>3</v>
      </c>
      <c r="C47" s="0" t="inlineStr">
        <is>
          <t xml:space="preserve"/>
        </is>
      </c>
    </row>
    <row r="48" ht="42" customHeight="1">
      <c r="A48" s="0" t="inlineStr">
        <is>
          <t xml:space="preserve">Разовый · По месяц</t>
        </is>
      </c>
      <c r="B48" s="6">
        <v>12</v>
      </c>
      <c r="C48" s="0" t="inlineStr">
        <is>
          <t xml:space="preserve"/>
        </is>
      </c>
    </row>
    <row r="49" ht="42" customHeight="1">
      <c r="A49" s="0" t="inlineStr">
        <is>
          <t xml:space="preserve">Станок · Название</t>
        </is>
      </c>
      <c r="B49" s="6" t="inlineStr">
        <is>
          <t xml:space="preserve">Станок</t>
        </is>
      </c>
      <c r="C49" s="0" t="inlineStr">
        <is>
          <t xml:space="preserve"/>
        </is>
      </c>
    </row>
    <row r="50" ht="42" customHeight="1">
      <c r="A50" s="0" t="inlineStr">
        <is>
          <t xml:space="preserve">Станок · Сумма или ставка</t>
        </is>
      </c>
      <c r="B50" s="6">
        <v>120000</v>
      </c>
      <c r="C50" s="0" t="inlineStr">
        <is>
          <t xml:space="preserve"/>
        </is>
      </c>
    </row>
    <row r="51" ht="42" customHeight="1">
      <c r="A51" s="0" t="inlineStr">
        <is>
          <t xml:space="preserve">Станок · Месяц покупки</t>
        </is>
      </c>
      <c r="B51" s="6">
        <v>2</v>
      </c>
      <c r="C51" s="0" t="inlineStr">
        <is>
          <t xml:space="preserve"/>
        </is>
      </c>
    </row>
    <row r="52" ht="42" customHeight="1">
      <c r="A52" s="0" t="inlineStr">
        <is>
          <t xml:space="preserve">Станок · Срок амортизации, мес.</t>
        </is>
      </c>
      <c r="B52" s="6">
        <v>12</v>
      </c>
      <c r="C52" s="0" t="inlineStr">
        <is>
          <t xml:space="preserve"/>
        </is>
      </c>
    </row>
  </sheetData>
  <mergeCells count="2">
    <mergeCell ref="A1:C1"/>
    <mergeCell ref="A2:C2"/>
  </mergeCells>
  <dataValidations count="45">
    <dataValidation type="list" allowBlank="0" showErrorMessage="1" sqref="B4">
      <formula1>"items,manual"</formula1>
    </dataValidation>
    <dataValidation type="decimal" operator="between" allowBlank="0" showErrorMessage="1" sqref="B5">
      <formula1>0</formula1>
      <formula2>100</formula2>
    </dataValidation>
    <dataValidation type="list" allowBlank="0" showErrorMessage="1" sqref="B6">
      <formula1>"profit,revenue,none"</formula1>
    </dataValidation>
    <dataValidation type="decimal" operator="between" allowBlank="0" showErrorMessage="1" sqref="B7">
      <formula1>0</formula1>
      <formula2>100</formula2>
    </dataValidation>
    <dataValidation type="whole" operator="between" allowBlank="0" showErrorMessage="1" sqref="B8">
      <formula1>0</formula1>
      <formula2>12</formula2>
    </dataValidation>
    <dataValidation type="whole" operator="between" allowBlank="0" showErrorMessage="1" sqref="B9">
      <formula1>0</formula1>
      <formula2>12</formula2>
    </dataValidation>
    <dataValidation type="decimal" operator="between" allowBlank="0" showErrorMessage="1" sqref="B10">
      <formula1>0</formula1>
      <formula2>1000000000000</formula2>
    </dataValidation>
    <dataValidation type="decimal" operator="between" allowBlank="0" showErrorMessage="1" sqref="B11">
      <formula1>0</formula1>
      <formula2>1000000000000</formula2>
    </dataValidation>
    <dataValidation type="decimal" operator="between" allowBlank="0" showErrorMessage="1" sqref="B12">
      <formula1>0</formula1>
      <formula2>1000000000000</formula2>
    </dataValidation>
    <dataValidation type="whole" operator="between" allowBlank="0" showErrorMessage="1" sqref="B13">
      <formula1>0</formula1>
      <formula2>600</formula2>
    </dataValidation>
    <dataValidation type="decimal" operator="between" allowBlank="0" showErrorMessage="1" sqref="B14">
      <formula1>0</formula1>
      <formula2>1000000000000</formula2>
    </dataValidation>
    <dataValidation type="decimal" operator="between" allowBlank="0" showErrorMessage="1" sqref="B15">
      <formula1>0</formula1>
      <formula2>100</formula2>
    </dataValidation>
    <dataValidation type="whole" operator="between" allowBlank="0" showErrorMessage="1" sqref="B16">
      <formula1>1</formula1>
      <formula2>600</formula2>
    </dataValidation>
    <dataValidation type="decimal" operator="between" allowBlank="0" showErrorMessage="1" sqref="B17">
      <formula1>0</formula1>
      <formula2>1000000000000</formula2>
    </dataValidation>
    <dataValidation type="decimal" operator="between" allowBlank="0" showErrorMessage="1" sqref="B18">
      <formula1>0</formula1>
      <formula2>1000000000000</formula2>
    </dataValidation>
    <dataValidation type="decimal" operator="between" allowBlank="0" showErrorMessage="1" sqref="B19">
      <formula1>0</formula1>
      <formula2>1000000000000</formula2>
    </dataValidation>
    <dataValidation type="decimal" operator="between" allowBlank="0" showErrorMessage="1" sqref="B20">
      <formula1>0</formula1>
      <formula2>1000000000000</formula2>
    </dataValidation>
    <dataValidation type="decimal" operator="between" allowBlank="0" showErrorMessage="1" sqref="B21">
      <formula1>0</formula1>
      <formula2>1000000000000</formula2>
    </dataValidation>
    <dataValidation type="decimal" operator="between" allowBlank="0" showErrorMessage="1" sqref="B22">
      <formula1>0</formula1>
      <formula2>1000000000000</formula2>
    </dataValidation>
    <dataValidation type="decimal" operator="between" allowBlank="0" showErrorMessage="1" sqref="B23">
      <formula1>0</formula1>
      <formula2>1000000000000</formula2>
    </dataValidation>
    <dataValidation type="decimal" operator="between" allowBlank="0" showErrorMessage="1" sqref="B24">
      <formula1>0</formula1>
      <formula2>1000000000000</formula2>
    </dataValidation>
    <dataValidation type="decimal" operator="between" allowBlank="0" showErrorMessage="1" sqref="B25">
      <formula1>0</formula1>
      <formula2>1000000000000</formula2>
    </dataValidation>
    <dataValidation type="decimal" operator="between" allowBlank="0" showErrorMessage="1" sqref="B26">
      <formula1>0</formula1>
      <formula2>1000000000000</formula2>
    </dataValidation>
    <dataValidation type="decimal" operator="between" allowBlank="0" showErrorMessage="1" sqref="B27">
      <formula1>0</formula1>
      <formula2>1000000000000</formula2>
    </dataValidation>
    <dataValidation type="decimal" operator="between" allowBlank="0" showErrorMessage="1" sqref="B28">
      <formula1>0</formula1>
      <formula2>1000000000000</formula2>
    </dataValidation>
    <dataValidation type="decimal" operator="between" allowBlank="0" showErrorMessage="1" sqref="B29">
      <formula1>0</formula1>
      <formula2>1000000000000</formula2>
    </dataValidation>
    <dataValidation type="decimal" operator="between" allowBlank="0" showErrorMessage="1" sqref="B31">
      <formula1>0</formula1>
      <formula2>1000000000000</formula2>
    </dataValidation>
    <dataValidation type="decimal" operator="between" allowBlank="0" showErrorMessage="1" sqref="B32">
      <formula1>0</formula1>
      <formula2>1000000000000</formula2>
    </dataValidation>
    <dataValidation type="decimal" operator="between" allowBlank="0" showErrorMessage="1" sqref="B33">
      <formula1>-100</formula1>
      <formula2>100</formula2>
    </dataValidation>
    <dataValidation type="decimal" operator="between" allowBlank="0" showErrorMessage="1" sqref="B34">
      <formula1>0</formula1>
      <formula2>100</formula2>
    </dataValidation>
    <dataValidation type="whole" operator="between" allowBlank="0" showErrorMessage="1" sqref="B35">
      <formula1>1</formula1>
      <formula2>12</formula2>
    </dataValidation>
    <dataValidation type="whole" operator="between" allowBlank="0" showErrorMessage="1" sqref="B36">
      <formula1>1</formula1>
      <formula2>12</formula2>
    </dataValidation>
    <dataValidation type="list" allowBlank="0" showErrorMessage="1" sqref="B38">
      <formula1>"fixed,percent,once"</formula1>
    </dataValidation>
    <dataValidation type="decimal" operator="between" allowBlank="0" showErrorMessage="1" sqref="B39">
      <formula1>0</formula1>
      <formula2>1000000000000</formula2>
    </dataValidation>
    <dataValidation type="decimal" operator="between" allowBlank="0" showErrorMessage="1" sqref="B40">
      <formula1>-100</formula1>
      <formula2>100</formula2>
    </dataValidation>
    <dataValidation type="whole" operator="between" allowBlank="0" showErrorMessage="1" sqref="B41">
      <formula1>1</formula1>
      <formula2>12</formula2>
    </dataValidation>
    <dataValidation type="whole" operator="between" allowBlank="0" showErrorMessage="1" sqref="B42">
      <formula1>1</formula1>
      <formula2>12</formula2>
    </dataValidation>
    <dataValidation type="list" allowBlank="0" showErrorMessage="1" sqref="B44">
      <formula1>"fixed,percent,once"</formula1>
    </dataValidation>
    <dataValidation type="decimal" operator="between" allowBlank="0" showErrorMessage="1" sqref="B45">
      <formula1>0</formula1>
      <formula2>1000000000000</formula2>
    </dataValidation>
    <dataValidation type="decimal" operator="between" allowBlank="0" showErrorMessage="1" sqref="B46">
      <formula1>-100</formula1>
      <formula2>100</formula2>
    </dataValidation>
    <dataValidation type="whole" operator="between" allowBlank="0" showErrorMessage="1" sqref="B47">
      <formula1>1</formula1>
      <formula2>12</formula2>
    </dataValidation>
    <dataValidation type="whole" operator="between" allowBlank="0" showErrorMessage="1" sqref="B48">
      <formula1>1</formula1>
      <formula2>12</formula2>
    </dataValidation>
    <dataValidation type="decimal" operator="between" allowBlank="0" showErrorMessage="1" sqref="B50">
      <formula1>0</formula1>
      <formula2>1000000000000</formula2>
    </dataValidation>
    <dataValidation type="whole" operator="between" allowBlank="0" showErrorMessage="1" sqref="B51">
      <formula1>1</formula1>
      <formula2>12</formula2>
    </dataValidation>
    <dataValidation type="whole" operator="between" allowBlank="0" showErrorMessage="1" sqref="B52">
      <formula1>1</formula1>
      <formula2>600</formula2>
    </dataValidation>
  </dataValidations>
</worksheet>
</file>