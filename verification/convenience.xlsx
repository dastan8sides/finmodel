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одель" sheetId="1" r:id="rId1"/>
    <sheet name="Вводные" sheetId="2" r:id="rId2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(#,##0);&quot;—&quot;"/>
  </numFmts>
  <fonts count="3">
    <font>
      <sz val="12"/>
      <name val="Calibri"/>
    </font>
    <font>
      <b/>
      <sz val="12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02020"/>
        <bgColor indexed="64"/>
      </patternFill>
    </fill>
    <fill>
      <patternFill patternType="solid">
        <fgColor rgb="FFF0F0ED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 applyNumberFormat="1" applyAlignment="1">
      <alignment vertical="center" wrapText="1"/>
    </xf>
    <xf numFmtId="0" fontId="1" fillId="2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2" fillId="0" borderId="0" xfId="0" applyNumberFormat="1" applyAlignment="1">
      <alignment vertical="center" wrapText="1"/>
    </xf>
    <xf numFmtId="0" fontId="0" fillId="3" borderId="0" xfId="0" applyNumberFormat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 showGridLines="0">
      <pane xSplit="1" ySplit="4" topLeftCell="B5" activePane="bottomRight" state="frozen"/>
    </sheetView>
  </sheetViews>
  <cols>
    <col min="1" max="1" width="43" customWidth="1"/>
    <col min="2" max="14" width="20" customWidth="1"/>
    <col min="15" max="15" width="82" customWidth="1"/>
  </cols>
  <sheetData>
    <row r="1" ht="32" customHeight="1">
      <c r="A1" s="1" t="inlineStr">
        <is>
          <t xml:space="preserve">КОНТУР / Изменённая</t>
        </is>
      </c>
    </row>
    <row r="2" ht="25" customHeight="1">
      <c r="A2" s="0" t="inlineStr">
        <is>
          <t xml:space="preserve">Базовый · KZT · 12 месяцев. Потоки — сумма; остатки — на конец М12.</t>
        </is>
      </c>
    </row>
    <row r="3" ht="25" customHeight="1">
      <c r="A3" s="1" t="inlineStr">
        <is>
          <t xml:space="preserve">Чистая прибыль</t>
        </is>
      </c>
      <c r="B3" s="2">
        <f>N41</f>
        <v>9688745.30120845</v>
      </c>
      <c r="D3" s="1" t="inlineStr">
        <is>
          <t xml:space="preserve">Выручка</t>
        </is>
      </c>
      <c r="E3" s="2">
        <f>N8</f>
        <v>38315803.933689654</v>
      </c>
      <c r="G3" s="1" t="inlineStr">
        <is>
          <t xml:space="preserve">Деньги на конец</t>
        </is>
      </c>
      <c r="H3" s="2">
        <f>M49</f>
        <v>10688745.30120845</v>
      </c>
    </row>
    <row r="4" ht="30" customHeight="1">
      <c r="A4" s="1" t="inlineStr">
        <is>
          <t xml:space="preserve">Показатель</t>
        </is>
      </c>
      <c r="B4" s="1" t="inlineStr">
        <is>
          <t xml:space="preserve">М1</t>
        </is>
      </c>
      <c r="C4" s="1" t="inlineStr">
        <is>
          <t xml:space="preserve">М2</t>
        </is>
      </c>
      <c r="D4" s="1" t="inlineStr">
        <is>
          <t xml:space="preserve">М3</t>
        </is>
      </c>
      <c r="E4" s="1" t="inlineStr">
        <is>
          <t xml:space="preserve">М4</t>
        </is>
      </c>
      <c r="F4" s="1" t="inlineStr">
        <is>
          <t xml:space="preserve">М5</t>
        </is>
      </c>
      <c r="G4" s="1" t="inlineStr">
        <is>
          <t xml:space="preserve">М6</t>
        </is>
      </c>
      <c r="H4" s="1" t="inlineStr">
        <is>
          <t xml:space="preserve">М7</t>
        </is>
      </c>
      <c r="I4" s="1" t="inlineStr">
        <is>
          <t xml:space="preserve">М8</t>
        </is>
      </c>
      <c r="J4" s="1" t="inlineStr">
        <is>
          <t xml:space="preserve">М9</t>
        </is>
      </c>
      <c r="K4" s="1" t="inlineStr">
        <is>
          <t xml:space="preserve">М10</t>
        </is>
      </c>
      <c r="L4" s="1" t="inlineStr">
        <is>
          <t xml:space="preserve">М11</t>
        </is>
      </c>
      <c r="M4" s="1" t="inlineStr">
        <is>
          <t xml:space="preserve">М12</t>
        </is>
      </c>
      <c r="N4" s="1" t="inlineStr">
        <is>
          <t xml:space="preserve">Год / конец</t>
        </is>
      </c>
      <c r="O4" s="1" t="inlineStr">
        <is>
          <t xml:space="preserve">Как считается</t>
        </is>
      </c>
    </row>
    <row r="5" ht="25" customHeight="1">
      <c r="A5" s="0" t="inlineStr">
        <is>
          <t xml:space="preserve">Основной продукт · количество</t>
        </is>
      </c>
      <c r="B5" s="2">
        <f>IF(AND((1&gt;='Вводные'!$B$35),(1&lt;='Вводные'!$B$36)),(('Вводные'!$B$31*'Вводные'!$B$17)*((1+('Вводные'!$B$33/100))^MAX(0,(1-'Вводные'!$B$35)))),0)</f>
        <v>300</v>
      </c>
      <c r="C5" s="2">
        <f>IF(AND((2&gt;='Вводные'!$B$35),(2&lt;='Вводные'!$B$36)),(('Вводные'!$B$31*'Вводные'!$B$17)*((1+('Вводные'!$B$33/100))^MAX(0,(2-'Вводные'!$B$35)))),0)</f>
        <v>312</v>
      </c>
      <c r="D5" s="2">
        <f>IF(AND((3&gt;='Вводные'!$B$35),(3&lt;='Вводные'!$B$36)),(('Вводные'!$B$31*'Вводные'!$B$17)*((1+('Вводные'!$B$33/100))^MAX(0,(3-'Вводные'!$B$35)))),0)</f>
        <v>324.48</v>
      </c>
      <c r="E5" s="2">
        <f>IF(AND((4&gt;='Вводные'!$B$35),(4&lt;='Вводные'!$B$36)),(('Вводные'!$B$31*'Вводные'!$B$17)*((1+('Вводные'!$B$33/100))^MAX(0,(4-'Вводные'!$B$35)))),0)</f>
        <v>337.4592</v>
      </c>
      <c r="F5" s="2">
        <f>IF(AND((5&gt;='Вводные'!$B$35),(5&lt;='Вводные'!$B$36)),(('Вводные'!$B$31*'Вводные'!$B$17)*((1+('Вводные'!$B$33/100))^MAX(0,(5-'Вводные'!$B$35)))),0)</f>
        <v>350.95756800000004</v>
      </c>
      <c r="G5" s="2">
        <f>IF(AND((6&gt;='Вводные'!$B$35),(6&lt;='Вводные'!$B$36)),(('Вводные'!$B$31*'Вводные'!$B$17)*((1+('Вводные'!$B$33/100))^MAX(0,(6-'Вводные'!$B$35)))),0)</f>
        <v>364.99587072</v>
      </c>
      <c r="H5" s="2">
        <f>IF(AND((7&gt;='Вводные'!$B$35),(7&lt;='Вводные'!$B$36)),(('Вводные'!$B$31*'Вводные'!$B$17)*((1+('Вводные'!$B$33/100))^MAX(0,(7-'Вводные'!$B$35)))),0)</f>
        <v>379.5957055488001</v>
      </c>
      <c r="I5" s="2">
        <f>IF(AND((8&gt;='Вводные'!$B$35),(8&lt;='Вводные'!$B$36)),(('Вводные'!$B$31*'Вводные'!$B$17)*((1+('Вводные'!$B$33/100))^MAX(0,(8-'Вводные'!$B$35)))),0)</f>
        <v>394.7795337707521</v>
      </c>
      <c r="J5" s="2">
        <f>IF(AND((9&gt;='Вводные'!$B$35),(9&lt;='Вводные'!$B$36)),(('Вводные'!$B$31*'Вводные'!$B$17)*((1+('Вводные'!$B$33/100))^MAX(0,(9-'Вводные'!$B$35)))),0)</f>
        <v>410.57071512158217</v>
      </c>
      <c r="K5" s="2">
        <f>IF(AND((10&gt;='Вводные'!$B$35),(10&lt;='Вводные'!$B$36)),(('Вводные'!$B$31*'Вводные'!$B$17)*((1+('Вводные'!$B$33/100))^MAX(0,(10-'Вводные'!$B$35)))),0)</f>
        <v>426.99354372644547</v>
      </c>
      <c r="L5" s="2">
        <f>IF(AND((11&gt;='Вводные'!$B$35),(11&lt;='Вводные'!$B$36)),(('Вводные'!$B$31*'Вводные'!$B$17)*((1+('Вводные'!$B$33/100))^MAX(0,(11-'Вводные'!$B$35)))),0)</f>
        <v>444.0732854755033</v>
      </c>
      <c r="M5" s="2">
        <f>IF(AND((12&gt;='Вводные'!$B$35),(12&lt;='Вводные'!$B$36)),(('Вводные'!$B$31*'Вводные'!$B$17)*((1+('Вводные'!$B$33/100))^MAX(0,(12-'Вводные'!$B$35)))),0)</f>
        <v>461.8362168945235</v>
      </c>
      <c r="N5" s="2">
        <f>SUM(B5:M5)</f>
        <v>4507.741639257606</v>
      </c>
      <c r="O5" s="0" t="inlineStr">
        <is>
          <t xml:space="preserve">Продажи</t>
        </is>
      </c>
    </row>
    <row r="6" ht="25" customHeight="1">
      <c r="A6" s="0" t="inlineStr">
        <is>
          <t xml:space="preserve">Основной продукт · выручка</t>
        </is>
      </c>
      <c r="B6" s="2">
        <f>(B5*'Вводные'!$B$32)</f>
        <v>2550000</v>
      </c>
      <c r="C6" s="2">
        <f>(C5*'Вводные'!$B$32)</f>
        <v>2652000</v>
      </c>
      <c r="D6" s="2">
        <f>(D5*'Вводные'!$B$32)</f>
        <v>2758080</v>
      </c>
      <c r="E6" s="2">
        <f>(E5*'Вводные'!$B$32)</f>
        <v>2868403.2</v>
      </c>
      <c r="F6" s="2">
        <f>(F5*'Вводные'!$B$32)</f>
        <v>2983139.328</v>
      </c>
      <c r="G6" s="2">
        <f>(G5*'Вводные'!$B$32)</f>
        <v>3102464.90112</v>
      </c>
      <c r="H6" s="2">
        <f>(H5*'Вводные'!$B$32)</f>
        <v>3226563.4971648008</v>
      </c>
      <c r="I6" s="2">
        <f>(I5*'Вводные'!$B$32)</f>
        <v>3355626.0370513927</v>
      </c>
      <c r="J6" s="2">
        <f>(J5*'Вводные'!$B$32)</f>
        <v>3489851.0785334483</v>
      </c>
      <c r="K6" s="2">
        <f>(K5*'Вводные'!$B$32)</f>
        <v>3629445.1216747863</v>
      </c>
      <c r="L6" s="2">
        <f>(L5*'Вводные'!$B$32)</f>
        <v>3774622.9265417783</v>
      </c>
      <c r="M6" s="2">
        <f>(M5*'Вводные'!$B$32)</f>
        <v>3925607.84360345</v>
      </c>
      <c r="N6" s="2">
        <f>SUM(B6:M6)</f>
        <v>38315803.933689654</v>
      </c>
      <c r="O6" s="0" t="inlineStr">
        <is>
          <t xml:space="preserve">Продажи</t>
        </is>
      </c>
    </row>
    <row r="7" ht="25" customHeight="1">
      <c r="A7" s="0" t="inlineStr">
        <is>
          <t xml:space="preserve">Основной продукт · себестоимость</t>
        </is>
      </c>
      <c r="B7" s="2">
        <f>(B6*('Вводные'!$B$34/100))</f>
        <v>892500</v>
      </c>
      <c r="C7" s="2">
        <f>(C6*('Вводные'!$B$34/100))</f>
        <v>928199.9999999999</v>
      </c>
      <c r="D7" s="2">
        <f>(D6*('Вводные'!$B$34/100))</f>
        <v>965327.9999999999</v>
      </c>
      <c r="E7" s="2">
        <f>(E6*('Вводные'!$B$34/100))</f>
        <v>1003941.12</v>
      </c>
      <c r="F7" s="2">
        <f>(F6*('Вводные'!$B$34/100))</f>
        <v>1044098.7648</v>
      </c>
      <c r="G7" s="2">
        <f>(G6*('Вводные'!$B$34/100))</f>
        <v>1085862.715392</v>
      </c>
      <c r="H7" s="2">
        <f>(H6*('Вводные'!$B$34/100))</f>
        <v>1129297.22400768</v>
      </c>
      <c r="I7" s="2">
        <f>(I6*('Вводные'!$B$34/100))</f>
        <v>1174469.1129679873</v>
      </c>
      <c r="J7" s="2">
        <f>(J6*('Вводные'!$B$34/100))</f>
        <v>1221447.8774867067</v>
      </c>
      <c r="K7" s="2">
        <f>(K6*('Вводные'!$B$34/100))</f>
        <v>1270305.792586175</v>
      </c>
      <c r="L7" s="2">
        <f>(L6*('Вводные'!$B$34/100))</f>
        <v>1321118.0242896222</v>
      </c>
      <c r="M7" s="2">
        <f>(M6*('Вводные'!$B$34/100))</f>
        <v>1373962.7452612075</v>
      </c>
      <c r="N7" s="2">
        <f>SUM(B7:M7)</f>
        <v>13410531.37679138</v>
      </c>
      <c r="O7" s="0" t="inlineStr">
        <is>
          <t xml:space="preserve">Продажи</t>
        </is>
      </c>
    </row>
    <row r="8" ht="55" customHeight="1">
      <c r="A8" s="5" t="inlineStr">
        <is>
          <t xml:space="preserve">Выручка / оборот</t>
        </is>
      </c>
      <c r="B8" s="2">
        <f>IF(('Вводные'!$B$4="manual"),('Вводные'!$B$18*'Вводные'!$B$17),B6)</f>
        <v>2550000</v>
      </c>
      <c r="C8" s="2">
        <f>IF(('Вводные'!$B$4="manual"),('Вводные'!$B$19*'Вводные'!$B$17),C6)</f>
        <v>2652000</v>
      </c>
      <c r="D8" s="2">
        <f>IF(('Вводные'!$B$4="manual"),('Вводные'!$B$20*'Вводные'!$B$17),D6)</f>
        <v>2758080</v>
      </c>
      <c r="E8" s="2">
        <f>IF(('Вводные'!$B$4="manual"),('Вводные'!$B$21*'Вводные'!$B$17),E6)</f>
        <v>2868403.2</v>
      </c>
      <c r="F8" s="2">
        <f>IF(('Вводные'!$B$4="manual"),('Вводные'!$B$22*'Вводные'!$B$17),F6)</f>
        <v>2983139.328</v>
      </c>
      <c r="G8" s="2">
        <f>IF(('Вводные'!$B$4="manual"),('Вводные'!$B$23*'Вводные'!$B$17),G6)</f>
        <v>3102464.90112</v>
      </c>
      <c r="H8" s="2">
        <f>IF(('Вводные'!$B$4="manual"),('Вводные'!$B$24*'Вводные'!$B$17),H6)</f>
        <v>3226563.4971648008</v>
      </c>
      <c r="I8" s="2">
        <f>IF(('Вводные'!$B$4="manual"),('Вводные'!$B$25*'Вводные'!$B$17),I6)</f>
        <v>3355626.0370513927</v>
      </c>
      <c r="J8" s="2">
        <f>IF(('Вводные'!$B$4="manual"),('Вводные'!$B$26*'Вводные'!$B$17),J6)</f>
        <v>3489851.0785334483</v>
      </c>
      <c r="K8" s="2">
        <f>IF(('Вводные'!$B$4="manual"),('Вводные'!$B$27*'Вводные'!$B$17),K6)</f>
        <v>3629445.1216747863</v>
      </c>
      <c r="L8" s="2">
        <f>IF(('Вводные'!$B$4="manual"),('Вводные'!$B$28*'Вводные'!$B$17),L6)</f>
        <v>3774622.9265417783</v>
      </c>
      <c r="M8" s="2">
        <f>IF(('Вводные'!$B$4="manual"),('Вводные'!$B$29*'Вводные'!$B$17),M6)</f>
        <v>3925607.84360345</v>
      </c>
      <c r="N8" s="2">
        <f>SUM(B8:M8)</f>
        <v>38315803.933689654</v>
      </c>
      <c r="O8" s="0" t="inlineStr">
        <is>
          <t xml:space="preserve">По продуктам: количество × цена. Вручную: введённый оборот. Сценарий применяется один раз.</t>
        </is>
      </c>
    </row>
    <row r="9" ht="55" customHeight="1">
      <c r="A9" s="5" t="inlineStr">
        <is>
          <t xml:space="preserve">Себестоимость продаж</t>
        </is>
      </c>
      <c r="B9" s="2">
        <f>IF(('Вводные'!$B$4="manual"),(B8*('Вводные'!$B$5/100)),B7)</f>
        <v>892500</v>
      </c>
      <c r="C9" s="2">
        <f>IF(('Вводные'!$B$4="manual"),(C8*('Вводные'!$B$5/100)),C7)</f>
        <v>928199.9999999999</v>
      </c>
      <c r="D9" s="2">
        <f>IF(('Вводные'!$B$4="manual"),(D8*('Вводные'!$B$5/100)),D7)</f>
        <v>965327.9999999999</v>
      </c>
      <c r="E9" s="2">
        <f>IF(('Вводные'!$B$4="manual"),(E8*('Вводные'!$B$5/100)),E7)</f>
        <v>1003941.12</v>
      </c>
      <c r="F9" s="2">
        <f>IF(('Вводные'!$B$4="manual"),(F8*('Вводные'!$B$5/100)),F7)</f>
        <v>1044098.7648</v>
      </c>
      <c r="G9" s="2">
        <f>IF(('Вводные'!$B$4="manual"),(G8*('Вводные'!$B$5/100)),G7)</f>
        <v>1085862.715392</v>
      </c>
      <c r="H9" s="2">
        <f>IF(('Вводные'!$B$4="manual"),(H8*('Вводные'!$B$5/100)),H7)</f>
        <v>1129297.22400768</v>
      </c>
      <c r="I9" s="2">
        <f>IF(('Вводные'!$B$4="manual"),(I8*('Вводные'!$B$5/100)),I7)</f>
        <v>1174469.1129679873</v>
      </c>
      <c r="J9" s="2">
        <f>IF(('Вводные'!$B$4="manual"),(J8*('Вводные'!$B$5/100)),J7)</f>
        <v>1221447.8774867067</v>
      </c>
      <c r="K9" s="2">
        <f>IF(('Вводные'!$B$4="manual"),(K8*('Вводные'!$B$5/100)),K7)</f>
        <v>1270305.792586175</v>
      </c>
      <c r="L9" s="2">
        <f>IF(('Вводные'!$B$4="manual"),(L8*('Вводные'!$B$5/100)),L7)</f>
        <v>1321118.0242896222</v>
      </c>
      <c r="M9" s="2">
        <f>IF(('Вводные'!$B$4="manual"),(M8*('Вводные'!$B$5/100)),M7)</f>
        <v>1373962.7452612075</v>
      </c>
      <c r="N9" s="2">
        <f>SUM(B9:M9)</f>
        <v>13410531.37679138</v>
      </c>
      <c r="O9" s="0" t="inlineStr">
        <is>
          <t xml:space="preserve">Себестоимость продуктов или доля ручного оборота. Не дублируйте её в прочих расходах.</t>
        </is>
      </c>
    </row>
    <row r="10" ht="55" customHeight="1">
      <c r="A10" s="5" t="inlineStr">
        <is>
          <t xml:space="preserve">Валовая прибыль</t>
        </is>
      </c>
      <c r="B10" s="2">
        <f>(B8-B9)</f>
        <v>1657500</v>
      </c>
      <c r="C10" s="2">
        <f>(C8-C9)</f>
        <v>1723800</v>
      </c>
      <c r="D10" s="2">
        <f>(D8-D9)</f>
        <v>1792752</v>
      </c>
      <c r="E10" s="2">
        <f>(E8-E9)</f>
        <v>1864462.08</v>
      </c>
      <c r="F10" s="2">
        <f>(F8-F9)</f>
        <v>1939040.5632000002</v>
      </c>
      <c r="G10" s="2">
        <f>(G8-G9)</f>
        <v>2016602.185728</v>
      </c>
      <c r="H10" s="2">
        <f>(H8-H9)</f>
        <v>2097266.2731571207</v>
      </c>
      <c r="I10" s="2">
        <f>(I8-I9)</f>
        <v>2181156.924083405</v>
      </c>
      <c r="J10" s="2">
        <f>(J8-J9)</f>
        <v>2268403.2010467416</v>
      </c>
      <c r="K10" s="2">
        <f>(K8-K9)</f>
        <v>2359139.3290886115</v>
      </c>
      <c r="L10" s="2">
        <f>(L8-L9)</f>
        <v>2453504.9022521563</v>
      </c>
      <c r="M10" s="2">
        <f>(M8-M9)</f>
        <v>2551645.0983422427</v>
      </c>
      <c r="N10" s="2">
        <f>SUM(B10:M10)</f>
        <v>24905272.55689828</v>
      </c>
      <c r="O10" s="0" t="inlineStr">
        <is>
          <t xml:space="preserve">Выручка − себестоимость.</t>
        </is>
      </c>
    </row>
    <row r="11" ht="25" customHeight="1">
      <c r="A11" s="0" t="inlineStr">
        <is>
          <t xml:space="preserve">Менеджер · оклады и бонусы</t>
        </is>
      </c>
      <c r="B11" s="2">
        <f>IF(AND((1&gt;='Вводные'!$B$43),(1&lt;='Вводные'!$B$44)),(('Вводные'!$B$38*('Вводные'!$B$39+'Вводные'!$B$40))*((1+('Вводные'!$B$42/100))^MAX(0,(1-'Вводные'!$B$43)))),0)</f>
        <v>300000</v>
      </c>
      <c r="C11" s="2">
        <f>IF(AND((2&gt;='Вводные'!$B$43),(2&lt;='Вводные'!$B$44)),(('Вводные'!$B$38*('Вводные'!$B$39+'Вводные'!$B$40))*((1+('Вводные'!$B$42/100))^MAX(0,(2-'Вводные'!$B$43)))),0)</f>
        <v>300000</v>
      </c>
      <c r="D11" s="2">
        <f>IF(AND((3&gt;='Вводные'!$B$43),(3&lt;='Вводные'!$B$44)),(('Вводные'!$B$38*('Вводные'!$B$39+'Вводные'!$B$40))*((1+('Вводные'!$B$42/100))^MAX(0,(3-'Вводные'!$B$43)))),0)</f>
        <v>300000</v>
      </c>
      <c r="E11" s="2">
        <f>IF(AND((4&gt;='Вводные'!$B$43),(4&lt;='Вводные'!$B$44)),(('Вводные'!$B$38*('Вводные'!$B$39+'Вводные'!$B$40))*((1+('Вводные'!$B$42/100))^MAX(0,(4-'Вводные'!$B$43)))),0)</f>
        <v>300000</v>
      </c>
      <c r="F11" s="2">
        <f>IF(AND((5&gt;='Вводные'!$B$43),(5&lt;='Вводные'!$B$44)),(('Вводные'!$B$38*('Вводные'!$B$39+'Вводные'!$B$40))*((1+('Вводные'!$B$42/100))^MAX(0,(5-'Вводные'!$B$43)))),0)</f>
        <v>300000</v>
      </c>
      <c r="G11" s="2">
        <f>IF(AND((6&gt;='Вводные'!$B$43),(6&lt;='Вводные'!$B$44)),(('Вводные'!$B$38*('Вводные'!$B$39+'Вводные'!$B$40))*((1+('Вводные'!$B$42/100))^MAX(0,(6-'Вводные'!$B$43)))),0)</f>
        <v>300000</v>
      </c>
      <c r="H11" s="2">
        <f>IF(AND((7&gt;='Вводные'!$B$43),(7&lt;='Вводные'!$B$44)),(('Вводные'!$B$38*('Вводные'!$B$39+'Вводные'!$B$40))*((1+('Вводные'!$B$42/100))^MAX(0,(7-'Вводные'!$B$43)))),0)</f>
        <v>300000</v>
      </c>
      <c r="I11" s="2">
        <f>IF(AND((8&gt;='Вводные'!$B$43),(8&lt;='Вводные'!$B$44)),(('Вводные'!$B$38*('Вводные'!$B$39+'Вводные'!$B$40))*((1+('Вводные'!$B$42/100))^MAX(0,(8-'Вводные'!$B$43)))),0)</f>
        <v>300000</v>
      </c>
      <c r="J11" s="2">
        <f>IF(AND((9&gt;='Вводные'!$B$43),(9&lt;='Вводные'!$B$44)),(('Вводные'!$B$38*('Вводные'!$B$39+'Вводные'!$B$40))*((1+('Вводные'!$B$42/100))^MAX(0,(9-'Вводные'!$B$43)))),0)</f>
        <v>300000</v>
      </c>
      <c r="K11" s="2">
        <f>IF(AND((10&gt;='Вводные'!$B$43),(10&lt;='Вводные'!$B$44)),(('Вводные'!$B$38*('Вводные'!$B$39+'Вводные'!$B$40))*((1+('Вводные'!$B$42/100))^MAX(0,(10-'Вводные'!$B$43)))),0)</f>
        <v>300000</v>
      </c>
      <c r="L11" s="2">
        <f>IF(AND((11&gt;='Вводные'!$B$43),(11&lt;='Вводные'!$B$44)),(('Вводные'!$B$38*('Вводные'!$B$39+'Вводные'!$B$40))*((1+('Вводные'!$B$42/100))^MAX(0,(11-'Вводные'!$B$43)))),0)</f>
        <v>300000</v>
      </c>
      <c r="M11" s="2">
        <f>IF(AND((12&gt;='Вводные'!$B$43),(12&lt;='Вводные'!$B$44)),(('Вводные'!$B$38*('Вводные'!$B$39+'Вводные'!$B$40))*((1+('Вводные'!$B$42/100))^MAX(0,(12-'Вводные'!$B$43)))),0)</f>
        <v>300000</v>
      </c>
      <c r="N11" s="2">
        <f>SUM(B11:M11)</f>
        <v>3600000</v>
      </c>
      <c r="O11" s="0" t="inlineStr">
        <is>
          <t xml:space="preserve">Команда</t>
        </is>
      </c>
    </row>
    <row r="12" ht="25" customHeight="1">
      <c r="A12" s="0" t="inlineStr">
        <is>
          <t xml:space="preserve">Менеджер · начисления</t>
        </is>
      </c>
      <c r="B12" s="2">
        <f>(B11*('Вводные'!$B$41/100))</f>
        <v>45000</v>
      </c>
      <c r="C12" s="2">
        <f>(C11*('Вводные'!$B$41/100))</f>
        <v>45000</v>
      </c>
      <c r="D12" s="2">
        <f>(D11*('Вводные'!$B$41/100))</f>
        <v>45000</v>
      </c>
      <c r="E12" s="2">
        <f>(E11*('Вводные'!$B$41/100))</f>
        <v>45000</v>
      </c>
      <c r="F12" s="2">
        <f>(F11*('Вводные'!$B$41/100))</f>
        <v>45000</v>
      </c>
      <c r="G12" s="2">
        <f>(G11*('Вводные'!$B$41/100))</f>
        <v>45000</v>
      </c>
      <c r="H12" s="2">
        <f>(H11*('Вводные'!$B$41/100))</f>
        <v>45000</v>
      </c>
      <c r="I12" s="2">
        <f>(I11*('Вводные'!$B$41/100))</f>
        <v>45000</v>
      </c>
      <c r="J12" s="2">
        <f>(J11*('Вводные'!$B$41/100))</f>
        <v>45000</v>
      </c>
      <c r="K12" s="2">
        <f>(K11*('Вводные'!$B$41/100))</f>
        <v>45000</v>
      </c>
      <c r="L12" s="2">
        <f>(L11*('Вводные'!$B$41/100))</f>
        <v>45000</v>
      </c>
      <c r="M12" s="2">
        <f>(M11*('Вводные'!$B$41/100))</f>
        <v>45000</v>
      </c>
      <c r="N12" s="2">
        <f>SUM(B12:M12)</f>
        <v>540000</v>
      </c>
      <c r="O12" s="0" t="inlineStr">
        <is>
          <t xml:space="preserve">Команда</t>
        </is>
      </c>
    </row>
    <row r="13" ht="25" customHeight="1">
      <c r="A13" s="0" t="inlineStr">
        <is>
          <t xml:space="preserve">Менеджер — копия · оклады и бонусы</t>
        </is>
      </c>
      <c r="B13" s="2">
        <f>IF(AND((1&gt;='Вводные'!$B$51),(1&lt;='Вводные'!$B$52)),(('Вводные'!$B$46*('Вводные'!$B$47+'Вводные'!$B$48))*((1+('Вводные'!$B$50/100))^MAX(0,(1-'Вводные'!$B$51)))),0)</f>
        <v>300000</v>
      </c>
      <c r="C13" s="2">
        <f>IF(AND((2&gt;='Вводные'!$B$51),(2&lt;='Вводные'!$B$52)),(('Вводные'!$B$46*('Вводные'!$B$47+'Вводные'!$B$48))*((1+('Вводные'!$B$50/100))^MAX(0,(2-'Вводные'!$B$51)))),0)</f>
        <v>300000</v>
      </c>
      <c r="D13" s="2">
        <f>IF(AND((3&gt;='Вводные'!$B$51),(3&lt;='Вводные'!$B$52)),(('Вводные'!$B$46*('Вводные'!$B$47+'Вводные'!$B$48))*((1+('Вводные'!$B$50/100))^MAX(0,(3-'Вводные'!$B$51)))),0)</f>
        <v>300000</v>
      </c>
      <c r="E13" s="2">
        <f>IF(AND((4&gt;='Вводные'!$B$51),(4&lt;='Вводные'!$B$52)),(('Вводные'!$B$46*('Вводные'!$B$47+'Вводные'!$B$48))*((1+('Вводные'!$B$50/100))^MAX(0,(4-'Вводные'!$B$51)))),0)</f>
        <v>300000</v>
      </c>
      <c r="F13" s="2">
        <f>IF(AND((5&gt;='Вводные'!$B$51),(5&lt;='Вводные'!$B$52)),(('Вводные'!$B$46*('Вводные'!$B$47+'Вводные'!$B$48))*((1+('Вводные'!$B$50/100))^MAX(0,(5-'Вводные'!$B$51)))),0)</f>
        <v>300000</v>
      </c>
      <c r="G13" s="2">
        <f>IF(AND((6&gt;='Вводные'!$B$51),(6&lt;='Вводные'!$B$52)),(('Вводные'!$B$46*('Вводные'!$B$47+'Вводные'!$B$48))*((1+('Вводные'!$B$50/100))^MAX(0,(6-'Вводные'!$B$51)))),0)</f>
        <v>300000</v>
      </c>
      <c r="H13" s="2">
        <f>IF(AND((7&gt;='Вводные'!$B$51),(7&lt;='Вводные'!$B$52)),(('Вводные'!$B$46*('Вводные'!$B$47+'Вводные'!$B$48))*((1+('Вводные'!$B$50/100))^MAX(0,(7-'Вводные'!$B$51)))),0)</f>
        <v>300000</v>
      </c>
      <c r="I13" s="2">
        <f>IF(AND((8&gt;='Вводные'!$B$51),(8&lt;='Вводные'!$B$52)),(('Вводные'!$B$46*('Вводные'!$B$47+'Вводные'!$B$48))*((1+('Вводные'!$B$50/100))^MAX(0,(8-'Вводные'!$B$51)))),0)</f>
        <v>300000</v>
      </c>
      <c r="J13" s="2">
        <f>IF(AND((9&gt;='Вводные'!$B$51),(9&lt;='Вводные'!$B$52)),(('Вводные'!$B$46*('Вводные'!$B$47+'Вводные'!$B$48))*((1+('Вводные'!$B$50/100))^MAX(0,(9-'Вводные'!$B$51)))),0)</f>
        <v>300000</v>
      </c>
      <c r="K13" s="2">
        <f>IF(AND((10&gt;='Вводные'!$B$51),(10&lt;='Вводные'!$B$52)),(('Вводные'!$B$46*('Вводные'!$B$47+'Вводные'!$B$48))*((1+('Вводные'!$B$50/100))^MAX(0,(10-'Вводные'!$B$51)))),0)</f>
        <v>300000</v>
      </c>
      <c r="L13" s="2">
        <f>IF(AND((11&gt;='Вводные'!$B$51),(11&lt;='Вводные'!$B$52)),(('Вводные'!$B$46*('Вводные'!$B$47+'Вводные'!$B$48))*((1+('Вводные'!$B$50/100))^MAX(0,(11-'Вводные'!$B$51)))),0)</f>
        <v>300000</v>
      </c>
      <c r="M13" s="2">
        <f>IF(AND((12&gt;='Вводные'!$B$51),(12&lt;='Вводные'!$B$52)),(('Вводные'!$B$46*('Вводные'!$B$47+'Вводные'!$B$48))*((1+('Вводные'!$B$50/100))^MAX(0,(12-'Вводные'!$B$51)))),0)</f>
        <v>300000</v>
      </c>
      <c r="N13" s="2">
        <f>SUM(B13:M13)</f>
        <v>3600000</v>
      </c>
      <c r="O13" s="0" t="inlineStr">
        <is>
          <t xml:space="preserve">Команда</t>
        </is>
      </c>
    </row>
    <row r="14" ht="25" customHeight="1">
      <c r="A14" s="0" t="inlineStr">
        <is>
          <t xml:space="preserve">Менеджер — копия · начисления</t>
        </is>
      </c>
      <c r="B14" s="2">
        <f>(B13*('Вводные'!$B$49/100))</f>
        <v>45000</v>
      </c>
      <c r="C14" s="2">
        <f>(C13*('Вводные'!$B$49/100))</f>
        <v>45000</v>
      </c>
      <c r="D14" s="2">
        <f>(D13*('Вводные'!$B$49/100))</f>
        <v>45000</v>
      </c>
      <c r="E14" s="2">
        <f>(E13*('Вводные'!$B$49/100))</f>
        <v>45000</v>
      </c>
      <c r="F14" s="2">
        <f>(F13*('Вводные'!$B$49/100))</f>
        <v>45000</v>
      </c>
      <c r="G14" s="2">
        <f>(G13*('Вводные'!$B$49/100))</f>
        <v>45000</v>
      </c>
      <c r="H14" s="2">
        <f>(H13*('Вводные'!$B$49/100))</f>
        <v>45000</v>
      </c>
      <c r="I14" s="2">
        <f>(I13*('Вводные'!$B$49/100))</f>
        <v>45000</v>
      </c>
      <c r="J14" s="2">
        <f>(J13*('Вводные'!$B$49/100))</f>
        <v>45000</v>
      </c>
      <c r="K14" s="2">
        <f>(K13*('Вводные'!$B$49/100))</f>
        <v>45000</v>
      </c>
      <c r="L14" s="2">
        <f>(L13*('Вводные'!$B$49/100))</f>
        <v>45000</v>
      </c>
      <c r="M14" s="2">
        <f>(M13*('Вводные'!$B$49/100))</f>
        <v>45000</v>
      </c>
      <c r="N14" s="2">
        <f>SUM(B14:M14)</f>
        <v>540000</v>
      </c>
      <c r="O14" s="0" t="inlineStr">
        <is>
          <t xml:space="preserve">Команда</t>
        </is>
      </c>
    </row>
    <row r="15" ht="25" customHeight="1">
      <c r="A15" s="5" t="inlineStr">
        <is>
          <t xml:space="preserve">Оклады и бонусы</t>
        </is>
      </c>
      <c r="B15" s="2">
        <f>(B11+B13)</f>
        <v>600000</v>
      </c>
      <c r="C15" s="2">
        <f>(C11+C13)</f>
        <v>600000</v>
      </c>
      <c r="D15" s="2">
        <f>(D11+D13)</f>
        <v>600000</v>
      </c>
      <c r="E15" s="2">
        <f>(E11+E13)</f>
        <v>600000</v>
      </c>
      <c r="F15" s="2">
        <f>(F11+F13)</f>
        <v>600000</v>
      </c>
      <c r="G15" s="2">
        <f>(G11+G13)</f>
        <v>600000</v>
      </c>
      <c r="H15" s="2">
        <f>(H11+H13)</f>
        <v>600000</v>
      </c>
      <c r="I15" s="2">
        <f>(I11+I13)</f>
        <v>600000</v>
      </c>
      <c r="J15" s="2">
        <f>(J11+J13)</f>
        <v>600000</v>
      </c>
      <c r="K15" s="2">
        <f>(K11+K13)</f>
        <v>600000</v>
      </c>
      <c r="L15" s="2">
        <f>(L11+L13)</f>
        <v>600000</v>
      </c>
      <c r="M15" s="2">
        <f>(M11+M13)</f>
        <v>600000</v>
      </c>
      <c r="N15" s="2">
        <f>SUM(B15:M15)</f>
        <v>7200000</v>
      </c>
      <c r="O15" s="0" t="inlineStr">
        <is>
          <t xml:space="preserve">Команда</t>
        </is>
      </c>
    </row>
    <row r="16" ht="25" customHeight="1">
      <c r="A16" s="5" t="inlineStr">
        <is>
          <t xml:space="preserve">Начисления работодателя</t>
        </is>
      </c>
      <c r="B16" s="2">
        <f>(B12+B14)</f>
        <v>90000</v>
      </c>
      <c r="C16" s="2">
        <f>(C12+C14)</f>
        <v>90000</v>
      </c>
      <c r="D16" s="2">
        <f>(D12+D14)</f>
        <v>90000</v>
      </c>
      <c r="E16" s="2">
        <f>(E12+E14)</f>
        <v>90000</v>
      </c>
      <c r="F16" s="2">
        <f>(F12+F14)</f>
        <v>90000</v>
      </c>
      <c r="G16" s="2">
        <f>(G12+G14)</f>
        <v>90000</v>
      </c>
      <c r="H16" s="2">
        <f>(H12+H14)</f>
        <v>90000</v>
      </c>
      <c r="I16" s="2">
        <f>(I12+I14)</f>
        <v>90000</v>
      </c>
      <c r="J16" s="2">
        <f>(J12+J14)</f>
        <v>90000</v>
      </c>
      <c r="K16" s="2">
        <f>(K12+K14)</f>
        <v>90000</v>
      </c>
      <c r="L16" s="2">
        <f>(L12+L14)</f>
        <v>90000</v>
      </c>
      <c r="M16" s="2">
        <f>(M12+M14)</f>
        <v>90000</v>
      </c>
      <c r="N16" s="2">
        <f>SUM(B16:M16)</f>
        <v>1080000</v>
      </c>
      <c r="O16" s="0" t="inlineStr">
        <is>
          <t xml:space="preserve">Команда</t>
        </is>
      </c>
    </row>
    <row r="17" ht="55" customHeight="1">
      <c r="A17" s="5" t="inlineStr">
        <is>
          <t xml:space="preserve">Команда — всего</t>
        </is>
      </c>
      <c r="B17" s="2">
        <f>(B15+B16)</f>
        <v>690000</v>
      </c>
      <c r="C17" s="2">
        <f>(C15+C16)</f>
        <v>690000</v>
      </c>
      <c r="D17" s="2">
        <f>(D15+D16)</f>
        <v>690000</v>
      </c>
      <c r="E17" s="2">
        <f>(E15+E16)</f>
        <v>690000</v>
      </c>
      <c r="F17" s="2">
        <f>(F15+F16)</f>
        <v>690000</v>
      </c>
      <c r="G17" s="2">
        <f>(G15+G16)</f>
        <v>690000</v>
      </c>
      <c r="H17" s="2">
        <f>(H15+H16)</f>
        <v>690000</v>
      </c>
      <c r="I17" s="2">
        <f>(I15+I16)</f>
        <v>690000</v>
      </c>
      <c r="J17" s="2">
        <f>(J15+J16)</f>
        <v>690000</v>
      </c>
      <c r="K17" s="2">
        <f>(K15+K16)</f>
        <v>690000</v>
      </c>
      <c r="L17" s="2">
        <f>(L15+L16)</f>
        <v>690000</v>
      </c>
      <c r="M17" s="2">
        <f>(M15+M16)</f>
        <v>690000</v>
      </c>
      <c r="N17" s="2">
        <f>SUM(B17:M17)</f>
        <v>8280000</v>
      </c>
      <c r="O17" s="0" t="inlineStr">
        <is>
          <t xml:space="preserve">Количество × (оклад + бонус) × рост × (1 + начисления). Ставки задаёте вы.</t>
        </is>
      </c>
    </row>
    <row r="18" ht="25" customHeight="1">
      <c r="A18" s="0" t="inlineStr">
        <is>
          <t xml:space="preserve">Реклама · затраты</t>
        </is>
      </c>
      <c r="B18" s="2">
        <f>IF(AND((1&gt;='Вводные'!$B$61),(1&lt;='Вводные'!$B$62)),(('Вводные'!$B$54*((1+('Вводные'!$B$56/100))^MAX(0,(1-'Вводные'!$B$61))))+(B8*('Вводные'!$B$55/100))),0)</f>
        <v>120000</v>
      </c>
      <c r="C18" s="2">
        <f>IF(AND((2&gt;='Вводные'!$B$61),(2&lt;='Вводные'!$B$62)),(('Вводные'!$B$54*((1+('Вводные'!$B$56/100))^MAX(0,(2-'Вводные'!$B$61))))+(C8*('Вводные'!$B$55/100))),0)</f>
        <v>120000</v>
      </c>
      <c r="D18" s="2">
        <f>IF(AND((3&gt;='Вводные'!$B$61),(3&lt;='Вводные'!$B$62)),(('Вводные'!$B$54*((1+('Вводные'!$B$56/100))^MAX(0,(3-'Вводные'!$B$61))))+(D8*('Вводные'!$B$55/100))),0)</f>
        <v>120000</v>
      </c>
      <c r="E18" s="2">
        <f>IF(AND((4&gt;='Вводные'!$B$61),(4&lt;='Вводные'!$B$62)),(('Вводные'!$B$54*((1+('Вводные'!$B$56/100))^MAX(0,(4-'Вводные'!$B$61))))+(E8*('Вводные'!$B$55/100))),0)</f>
        <v>120000</v>
      </c>
      <c r="F18" s="2">
        <f>IF(AND((5&gt;='Вводные'!$B$61),(5&lt;='Вводные'!$B$62)),(('Вводные'!$B$54*((1+('Вводные'!$B$56/100))^MAX(0,(5-'Вводные'!$B$61))))+(F8*('Вводные'!$B$55/100))),0)</f>
        <v>120000</v>
      </c>
      <c r="G18" s="2">
        <f>IF(AND((6&gt;='Вводные'!$B$61),(6&lt;='Вводные'!$B$62)),(('Вводные'!$B$54*((1+('Вводные'!$B$56/100))^MAX(0,(6-'Вводные'!$B$61))))+(G8*('Вводные'!$B$55/100))),0)</f>
        <v>120000</v>
      </c>
      <c r="H18" s="2">
        <f>IF(AND((7&gt;='Вводные'!$B$61),(7&lt;='Вводные'!$B$62)),(('Вводные'!$B$54*((1+('Вводные'!$B$56/100))^MAX(0,(7-'Вводные'!$B$61))))+(H8*('Вводные'!$B$55/100))),0)</f>
        <v>120000</v>
      </c>
      <c r="I18" s="2">
        <f>IF(AND((8&gt;='Вводные'!$B$61),(8&lt;='Вводные'!$B$62)),(('Вводные'!$B$54*((1+('Вводные'!$B$56/100))^MAX(0,(8-'Вводные'!$B$61))))+(I8*('Вводные'!$B$55/100))),0)</f>
        <v>120000</v>
      </c>
      <c r="J18" s="2">
        <f>IF(AND((9&gt;='Вводные'!$B$61),(9&lt;='Вводные'!$B$62)),(('Вводные'!$B$54*((1+('Вводные'!$B$56/100))^MAX(0,(9-'Вводные'!$B$61))))+(J8*('Вводные'!$B$55/100))),0)</f>
        <v>120000</v>
      </c>
      <c r="K18" s="2">
        <f>IF(AND((10&gt;='Вводные'!$B$61),(10&lt;='Вводные'!$B$62)),(('Вводные'!$B$54*((1+('Вводные'!$B$56/100))^MAX(0,(10-'Вводные'!$B$61))))+(K8*('Вводные'!$B$55/100))),0)</f>
        <v>120000</v>
      </c>
      <c r="L18" s="2">
        <f>IF(AND((11&gt;='Вводные'!$B$61),(11&lt;='Вводные'!$B$62)),(('Вводные'!$B$54*((1+('Вводные'!$B$56/100))^MAX(0,(11-'Вводные'!$B$61))))+(L8*('Вводные'!$B$55/100))),0)</f>
        <v>120000</v>
      </c>
      <c r="M18" s="2">
        <f>IF(AND((12&gt;='Вводные'!$B$61),(12&lt;='Вводные'!$B$62)),(('Вводные'!$B$54*((1+('Вводные'!$B$56/100))^MAX(0,(12-'Вводные'!$B$61))))+(M8*('Вводные'!$B$55/100))),0)</f>
        <v>120000</v>
      </c>
      <c r="N18" s="2">
        <f>SUM(B18:M18)</f>
        <v>1440000</v>
      </c>
      <c r="O18" s="0" t="inlineStr">
        <is>
          <t xml:space="preserve">Маркетинг</t>
        </is>
      </c>
    </row>
    <row r="19" ht="25" customHeight="1">
      <c r="A19" s="0" t="inlineStr">
        <is>
          <t xml:space="preserve">Реклама · клики</t>
        </is>
      </c>
      <c r="B19" s="2">
        <f>IF(('Вводные'!$B$57&gt;0),(B18/'Вводные'!$B$57),0)</f>
        <v>800</v>
      </c>
      <c r="C19" s="2">
        <f>IF(('Вводные'!$B$57&gt;0),(C18/'Вводные'!$B$57),0)</f>
        <v>800</v>
      </c>
      <c r="D19" s="2">
        <f>IF(('Вводные'!$B$57&gt;0),(D18/'Вводные'!$B$57),0)</f>
        <v>800</v>
      </c>
      <c r="E19" s="2">
        <f>IF(('Вводные'!$B$57&gt;0),(E18/'Вводные'!$B$57),0)</f>
        <v>800</v>
      </c>
      <c r="F19" s="2">
        <f>IF(('Вводные'!$B$57&gt;0),(F18/'Вводные'!$B$57),0)</f>
        <v>800</v>
      </c>
      <c r="G19" s="2">
        <f>IF(('Вводные'!$B$57&gt;0),(G18/'Вводные'!$B$57),0)</f>
        <v>800</v>
      </c>
      <c r="H19" s="2">
        <f>IF(('Вводные'!$B$57&gt;0),(H18/'Вводные'!$B$57),0)</f>
        <v>800</v>
      </c>
      <c r="I19" s="2">
        <f>IF(('Вводные'!$B$57&gt;0),(I18/'Вводные'!$B$57),0)</f>
        <v>800</v>
      </c>
      <c r="J19" s="2">
        <f>IF(('Вводные'!$B$57&gt;0),(J18/'Вводные'!$B$57),0)</f>
        <v>800</v>
      </c>
      <c r="K19" s="2">
        <f>IF(('Вводные'!$B$57&gt;0),(K18/'Вводные'!$B$57),0)</f>
        <v>800</v>
      </c>
      <c r="L19" s="2">
        <f>IF(('Вводные'!$B$57&gt;0),(L18/'Вводные'!$B$57),0)</f>
        <v>800</v>
      </c>
      <c r="M19" s="2">
        <f>IF(('Вводные'!$B$57&gt;0),(M18/'Вводные'!$B$57),0)</f>
        <v>800</v>
      </c>
      <c r="N19" s="2">
        <f>SUM(B19:M19)</f>
        <v>9600</v>
      </c>
      <c r="O19" s="0" t="inlineStr">
        <is>
          <t xml:space="preserve">Маркетинг</t>
        </is>
      </c>
    </row>
    <row r="20" ht="25" customHeight="1">
      <c r="A20" s="0" t="inlineStr">
        <is>
          <t xml:space="preserve">Реклама · заявки</t>
        </is>
      </c>
      <c r="B20" s="2">
        <f>(B19*('Вводные'!$B$58/100))</f>
        <v>80</v>
      </c>
      <c r="C20" s="2">
        <f>(C19*('Вводные'!$B$58/100))</f>
        <v>80</v>
      </c>
      <c r="D20" s="2">
        <f>(D19*('Вводные'!$B$58/100))</f>
        <v>80</v>
      </c>
      <c r="E20" s="2">
        <f>(E19*('Вводные'!$B$58/100))</f>
        <v>80</v>
      </c>
      <c r="F20" s="2">
        <f>(F19*('Вводные'!$B$58/100))</f>
        <v>80</v>
      </c>
      <c r="G20" s="2">
        <f>(G19*('Вводные'!$B$58/100))</f>
        <v>80</v>
      </c>
      <c r="H20" s="2">
        <f>(H19*('Вводные'!$B$58/100))</f>
        <v>80</v>
      </c>
      <c r="I20" s="2">
        <f>(I19*('Вводные'!$B$58/100))</f>
        <v>80</v>
      </c>
      <c r="J20" s="2">
        <f>(J19*('Вводные'!$B$58/100))</f>
        <v>80</v>
      </c>
      <c r="K20" s="2">
        <f>(K19*('Вводные'!$B$58/100))</f>
        <v>80</v>
      </c>
      <c r="L20" s="2">
        <f>(L19*('Вводные'!$B$58/100))</f>
        <v>80</v>
      </c>
      <c r="M20" s="2">
        <f>(M19*('Вводные'!$B$58/100))</f>
        <v>80</v>
      </c>
      <c r="N20" s="2">
        <f>SUM(B20:M20)</f>
        <v>960</v>
      </c>
      <c r="O20" s="0" t="inlineStr">
        <is>
          <t xml:space="preserve">Маркетинг</t>
        </is>
      </c>
    </row>
    <row r="21" ht="25" customHeight="1">
      <c r="A21" s="0" t="inlineStr">
        <is>
          <t xml:space="preserve">Реклама · клиенты</t>
        </is>
      </c>
      <c r="B21" s="2">
        <f>(B20*('Вводные'!$B$59/100))</f>
        <v>16</v>
      </c>
      <c r="C21" s="2">
        <f>(C20*('Вводные'!$B$59/100))</f>
        <v>16</v>
      </c>
      <c r="D21" s="2">
        <f>(D20*('Вводные'!$B$59/100))</f>
        <v>16</v>
      </c>
      <c r="E21" s="2">
        <f>(E20*('Вводные'!$B$59/100))</f>
        <v>16</v>
      </c>
      <c r="F21" s="2">
        <f>(F20*('Вводные'!$B$59/100))</f>
        <v>16</v>
      </c>
      <c r="G21" s="2">
        <f>(G20*('Вводные'!$B$59/100))</f>
        <v>16</v>
      </c>
      <c r="H21" s="2">
        <f>(H20*('Вводные'!$B$59/100))</f>
        <v>16</v>
      </c>
      <c r="I21" s="2">
        <f>(I20*('Вводные'!$B$59/100))</f>
        <v>16</v>
      </c>
      <c r="J21" s="2">
        <f>(J20*('Вводные'!$B$59/100))</f>
        <v>16</v>
      </c>
      <c r="K21" s="2">
        <f>(K20*('Вводные'!$B$59/100))</f>
        <v>16</v>
      </c>
      <c r="L21" s="2">
        <f>(L20*('Вводные'!$B$59/100))</f>
        <v>16</v>
      </c>
      <c r="M21" s="2">
        <f>(M20*('Вводные'!$B$59/100))</f>
        <v>16</v>
      </c>
      <c r="N21" s="2">
        <f>SUM(B21:M21)</f>
        <v>192</v>
      </c>
      <c r="O21" s="0" t="inlineStr">
        <is>
          <t xml:space="preserve">Маркетинг</t>
        </is>
      </c>
    </row>
    <row r="22" ht="25" customHeight="1">
      <c r="A22" s="0" t="inlineStr">
        <is>
          <t xml:space="preserve">Реклама · оценка выручки</t>
        </is>
      </c>
      <c r="B22" s="2">
        <f>(B21*'Вводные'!$B$60)</f>
        <v>136000</v>
      </c>
      <c r="C22" s="2">
        <f>(C21*'Вводные'!$B$60)</f>
        <v>136000</v>
      </c>
      <c r="D22" s="2">
        <f>(D21*'Вводные'!$B$60)</f>
        <v>136000</v>
      </c>
      <c r="E22" s="2">
        <f>(E21*'Вводные'!$B$60)</f>
        <v>136000</v>
      </c>
      <c r="F22" s="2">
        <f>(F21*'Вводные'!$B$60)</f>
        <v>136000</v>
      </c>
      <c r="G22" s="2">
        <f>(G21*'Вводные'!$B$60)</f>
        <v>136000</v>
      </c>
      <c r="H22" s="2">
        <f>(H21*'Вводные'!$B$60)</f>
        <v>136000</v>
      </c>
      <c r="I22" s="2">
        <f>(I21*'Вводные'!$B$60)</f>
        <v>136000</v>
      </c>
      <c r="J22" s="2">
        <f>(J21*'Вводные'!$B$60)</f>
        <v>136000</v>
      </c>
      <c r="K22" s="2">
        <f>(K21*'Вводные'!$B$60)</f>
        <v>136000</v>
      </c>
      <c r="L22" s="2">
        <f>(L21*'Вводные'!$B$60)</f>
        <v>136000</v>
      </c>
      <c r="M22" s="2">
        <f>(M21*'Вводные'!$B$60)</f>
        <v>136000</v>
      </c>
      <c r="N22" s="2">
        <f>SUM(B22:M22)</f>
        <v>1632000</v>
      </c>
      <c r="O22" s="0" t="inlineStr">
        <is>
          <t xml:space="preserve">Маркетинг</t>
        </is>
      </c>
    </row>
    <row r="23" ht="55" customHeight="1">
      <c r="A23" s="5" t="inlineStr">
        <is>
          <t xml:space="preserve">Маркетинг — всего</t>
        </is>
      </c>
      <c r="B23" s="2">
        <f>B18</f>
        <v>120000</v>
      </c>
      <c r="C23" s="2">
        <f>C18</f>
        <v>120000</v>
      </c>
      <c r="D23" s="2">
        <f>D18</f>
        <v>120000</v>
      </c>
      <c r="E23" s="2">
        <f>E18</f>
        <v>120000</v>
      </c>
      <c r="F23" s="2">
        <f>F18</f>
        <v>120000</v>
      </c>
      <c r="G23" s="2">
        <f>G18</f>
        <v>120000</v>
      </c>
      <c r="H23" s="2">
        <f>H18</f>
        <v>120000</v>
      </c>
      <c r="I23" s="2">
        <f>I18</f>
        <v>120000</v>
      </c>
      <c r="J23" s="2">
        <f>J18</f>
        <v>120000</v>
      </c>
      <c r="K23" s="2">
        <f>K18</f>
        <v>120000</v>
      </c>
      <c r="L23" s="2">
        <f>L18</f>
        <v>120000</v>
      </c>
      <c r="M23" s="2">
        <f>M18</f>
        <v>120000</v>
      </c>
      <c r="N23" s="2">
        <f>SUM(B23:M23)</f>
        <v>1440000</v>
      </c>
      <c r="O23" s="0" t="inlineStr">
        <is>
          <t xml:space="preserve">Бюджеты каналов + процент от выручки. Продажи из воронки уже должны входить в общий оборот.</t>
        </is>
      </c>
    </row>
    <row r="24" ht="25" customHeight="1">
      <c r="A24" s="5" t="inlineStr">
        <is>
          <t xml:space="preserve">Заявки из рекламы, шт.</t>
        </is>
      </c>
      <c r="B24" s="2">
        <f>B20</f>
        <v>80</v>
      </c>
      <c r="C24" s="2">
        <f>C20</f>
        <v>80</v>
      </c>
      <c r="D24" s="2">
        <f>D20</f>
        <v>80</v>
      </c>
      <c r="E24" s="2">
        <f>E20</f>
        <v>80</v>
      </c>
      <c r="F24" s="2">
        <f>F20</f>
        <v>80</v>
      </c>
      <c r="G24" s="2">
        <f>G20</f>
        <v>80</v>
      </c>
      <c r="H24" s="2">
        <f>H20</f>
        <v>80</v>
      </c>
      <c r="I24" s="2">
        <f>I20</f>
        <v>80</v>
      </c>
      <c r="J24" s="2">
        <f>J20</f>
        <v>80</v>
      </c>
      <c r="K24" s="2">
        <f>K20</f>
        <v>80</v>
      </c>
      <c r="L24" s="2">
        <f>L20</f>
        <v>80</v>
      </c>
      <c r="M24" s="2">
        <f>M20</f>
        <v>80</v>
      </c>
      <c r="N24" s="2">
        <f>SUM(B24:M24)</f>
        <v>960</v>
      </c>
      <c r="O24" s="0" t="inlineStr">
        <is>
          <t xml:space="preserve">Маркетинг</t>
        </is>
      </c>
    </row>
    <row r="25" ht="25" customHeight="1">
      <c r="A25" s="5" t="inlineStr">
        <is>
          <t xml:space="preserve">Клиенты из рекламы, шт.</t>
        </is>
      </c>
      <c r="B25" s="2">
        <f>B21</f>
        <v>16</v>
      </c>
      <c r="C25" s="2">
        <f>C21</f>
        <v>16</v>
      </c>
      <c r="D25" s="2">
        <f>D21</f>
        <v>16</v>
      </c>
      <c r="E25" s="2">
        <f>E21</f>
        <v>16</v>
      </c>
      <c r="F25" s="2">
        <f>F21</f>
        <v>16</v>
      </c>
      <c r="G25" s="2">
        <f>G21</f>
        <v>16</v>
      </c>
      <c r="H25" s="2">
        <f>H21</f>
        <v>16</v>
      </c>
      <c r="I25" s="2">
        <f>I21</f>
        <v>16</v>
      </c>
      <c r="J25" s="2">
        <f>J21</f>
        <v>16</v>
      </c>
      <c r="K25" s="2">
        <f>K21</f>
        <v>16</v>
      </c>
      <c r="L25" s="2">
        <f>L21</f>
        <v>16</v>
      </c>
      <c r="M25" s="2">
        <f>M21</f>
        <v>16</v>
      </c>
      <c r="N25" s="2">
        <f>SUM(B25:M25)</f>
        <v>192</v>
      </c>
      <c r="O25" s="0" t="inlineStr">
        <is>
          <t xml:space="preserve">Маркетинг</t>
        </is>
      </c>
    </row>
    <row r="26" ht="55" customHeight="1">
      <c r="A26" s="5" t="inlineStr">
        <is>
          <t xml:space="preserve">Оценка выручки из рекламы</t>
        </is>
      </c>
      <c r="B26" s="2">
        <f>B22</f>
        <v>136000</v>
      </c>
      <c r="C26" s="2">
        <f>C22</f>
        <v>136000</v>
      </c>
      <c r="D26" s="2">
        <f>D22</f>
        <v>136000</v>
      </c>
      <c r="E26" s="2">
        <f>E22</f>
        <v>136000</v>
      </c>
      <c r="F26" s="2">
        <f>F22</f>
        <v>136000</v>
      </c>
      <c r="G26" s="2">
        <f>G22</f>
        <v>136000</v>
      </c>
      <c r="H26" s="2">
        <f>H22</f>
        <v>136000</v>
      </c>
      <c r="I26" s="2">
        <f>I22</f>
        <v>136000</v>
      </c>
      <c r="J26" s="2">
        <f>J22</f>
        <v>136000</v>
      </c>
      <c r="K26" s="2">
        <f>K22</f>
        <v>136000</v>
      </c>
      <c r="L26" s="2">
        <f>L22</f>
        <v>136000</v>
      </c>
      <c r="M26" s="2">
        <f>M22</f>
        <v>136000</v>
      </c>
      <c r="N26" s="2">
        <f>SUM(B26:M26)</f>
        <v>1632000</v>
      </c>
      <c r="O26" s="0" t="inlineStr">
        <is>
          <t xml:space="preserve">Клиенты × чек каждого канала. Не прибавляется к обороту, чтобы не считать продажи дважды.</t>
        </is>
      </c>
    </row>
    <row r="27" ht="25" customHeight="1">
      <c r="A27" s="0" t="inlineStr">
        <is>
          <t xml:space="preserve">Аренда</t>
        </is>
      </c>
      <c r="B27" s="2">
        <f>IF(AND(AND((1&gt;='Вводные'!$B$67),(1&lt;='Вводные'!$B$68)),IF(('Вводные'!$B$64="once"),(1='Вводные'!$B$67),TRUE)),IF(('Вводные'!$B$64="percent"),(B8*('Вводные'!$B$65/100)),('Вводные'!$B$65*((1+('Вводные'!$B$66/100))^MAX(0,(1-'Вводные'!$B$67))))),0)</f>
        <v>250000</v>
      </c>
      <c r="C27" s="2">
        <f>IF(AND(AND((2&gt;='Вводные'!$B$67),(2&lt;='Вводные'!$B$68)),IF(('Вводные'!$B$64="once"),(2='Вводные'!$B$67),TRUE)),IF(('Вводные'!$B$64="percent"),(C8*('Вводные'!$B$65/100)),('Вводные'!$B$65*((1+('Вводные'!$B$66/100))^MAX(0,(2-'Вводные'!$B$67))))),0)</f>
        <v>250000</v>
      </c>
      <c r="D27" s="2">
        <f>IF(AND(AND((3&gt;='Вводные'!$B$67),(3&lt;='Вводные'!$B$68)),IF(('Вводные'!$B$64="once"),(3='Вводные'!$B$67),TRUE)),IF(('Вводные'!$B$64="percent"),(D8*('Вводные'!$B$65/100)),('Вводные'!$B$65*((1+('Вводные'!$B$66/100))^MAX(0,(3-'Вводные'!$B$67))))),0)</f>
        <v>250000</v>
      </c>
      <c r="E27" s="2">
        <f>IF(AND(AND((4&gt;='Вводные'!$B$67),(4&lt;='Вводные'!$B$68)),IF(('Вводные'!$B$64="once"),(4='Вводные'!$B$67),TRUE)),IF(('Вводные'!$B$64="percent"),(E8*('Вводные'!$B$65/100)),('Вводные'!$B$65*((1+('Вводные'!$B$66/100))^MAX(0,(4-'Вводные'!$B$67))))),0)</f>
        <v>250000</v>
      </c>
      <c r="F27" s="2">
        <f>IF(AND(AND((5&gt;='Вводные'!$B$67),(5&lt;='Вводные'!$B$68)),IF(('Вводные'!$B$64="once"),(5='Вводные'!$B$67),TRUE)),IF(('Вводные'!$B$64="percent"),(F8*('Вводные'!$B$65/100)),('Вводные'!$B$65*((1+('Вводные'!$B$66/100))^MAX(0,(5-'Вводные'!$B$67))))),0)</f>
        <v>250000</v>
      </c>
      <c r="G27" s="2">
        <f>IF(AND(AND((6&gt;='Вводные'!$B$67),(6&lt;='Вводные'!$B$68)),IF(('Вводные'!$B$64="once"),(6='Вводные'!$B$67),TRUE)),IF(('Вводные'!$B$64="percent"),(G8*('Вводные'!$B$65/100)),('Вводные'!$B$65*((1+('Вводные'!$B$66/100))^MAX(0,(6-'Вводные'!$B$67))))),0)</f>
        <v>250000</v>
      </c>
      <c r="H27" s="2">
        <f>IF(AND(AND((7&gt;='Вводные'!$B$67),(7&lt;='Вводные'!$B$68)),IF(('Вводные'!$B$64="once"),(7='Вводные'!$B$67),TRUE)),IF(('Вводные'!$B$64="percent"),(H8*('Вводные'!$B$65/100)),('Вводные'!$B$65*((1+('Вводные'!$B$66/100))^MAX(0,(7-'Вводные'!$B$67))))),0)</f>
        <v>250000</v>
      </c>
      <c r="I27" s="2">
        <f>IF(AND(AND((8&gt;='Вводные'!$B$67),(8&lt;='Вводные'!$B$68)),IF(('Вводные'!$B$64="once"),(8='Вводные'!$B$67),TRUE)),IF(('Вводные'!$B$64="percent"),(I8*('Вводные'!$B$65/100)),('Вводные'!$B$65*((1+('Вводные'!$B$66/100))^MAX(0,(8-'Вводные'!$B$67))))),0)</f>
        <v>250000</v>
      </c>
      <c r="J27" s="2">
        <f>IF(AND(AND((9&gt;='Вводные'!$B$67),(9&lt;='Вводные'!$B$68)),IF(('Вводные'!$B$64="once"),(9='Вводные'!$B$67),TRUE)),IF(('Вводные'!$B$64="percent"),(J8*('Вводные'!$B$65/100)),('Вводные'!$B$65*((1+('Вводные'!$B$66/100))^MAX(0,(9-'Вводные'!$B$67))))),0)</f>
        <v>250000</v>
      </c>
      <c r="K27" s="2">
        <f>IF(AND(AND((10&gt;='Вводные'!$B$67),(10&lt;='Вводные'!$B$68)),IF(('Вводные'!$B$64="once"),(10='Вводные'!$B$67),TRUE)),IF(('Вводные'!$B$64="percent"),(K8*('Вводные'!$B$65/100)),('Вводные'!$B$65*((1+('Вводные'!$B$66/100))^MAX(0,(10-'Вводные'!$B$67))))),0)</f>
        <v>250000</v>
      </c>
      <c r="L27" s="2">
        <f>IF(AND(AND((11&gt;='Вводные'!$B$67),(11&lt;='Вводные'!$B$68)),IF(('Вводные'!$B$64="once"),(11='Вводные'!$B$67),TRUE)),IF(('Вводные'!$B$64="percent"),(L8*('Вводные'!$B$65/100)),('Вводные'!$B$65*((1+('Вводные'!$B$66/100))^MAX(0,(11-'Вводные'!$B$67))))),0)</f>
        <v>250000</v>
      </c>
      <c r="M27" s="2">
        <f>IF(AND(AND((12&gt;='Вводные'!$B$67),(12&lt;='Вводные'!$B$68)),IF(('Вводные'!$B$64="once"),(12='Вводные'!$B$67),TRUE)),IF(('Вводные'!$B$64="percent"),(M8*('Вводные'!$B$65/100)),('Вводные'!$B$65*((1+('Вводные'!$B$66/100))^MAX(0,(12-'Вводные'!$B$67))))),0)</f>
        <v>250000</v>
      </c>
      <c r="N27" s="2">
        <f>SUM(B27:M27)</f>
        <v>3000000</v>
      </c>
      <c r="O27" s="0" t="inlineStr">
        <is>
          <t xml:space="preserve">Прочие расходы</t>
        </is>
      </c>
    </row>
    <row r="28" ht="25" customHeight="1">
      <c r="A28" s="0" t="inlineStr">
        <is>
          <t xml:space="preserve">Сервисы и связь</t>
        </is>
      </c>
      <c r="B28" s="2">
        <f>IF(AND(AND((1&gt;='Вводные'!$B$73),(1&lt;='Вводные'!$B$74)),IF(('Вводные'!$B$70="once"),(1='Вводные'!$B$73),TRUE)),IF(('Вводные'!$B$70="percent"),(B8*('Вводные'!$B$71/100)),('Вводные'!$B$71*((1+('Вводные'!$B$72/100))^MAX(0,(1-'Вводные'!$B$73))))),0)</f>
        <v>35000</v>
      </c>
      <c r="C28" s="2">
        <f>IF(AND(AND((2&gt;='Вводные'!$B$73),(2&lt;='Вводные'!$B$74)),IF(('Вводные'!$B$70="once"),(2='Вводные'!$B$73),TRUE)),IF(('Вводные'!$B$70="percent"),(C8*('Вводные'!$B$71/100)),('Вводные'!$B$71*((1+('Вводные'!$B$72/100))^MAX(0,(2-'Вводные'!$B$73))))),0)</f>
        <v>35000</v>
      </c>
      <c r="D28" s="2">
        <f>IF(AND(AND((3&gt;='Вводные'!$B$73),(3&lt;='Вводные'!$B$74)),IF(('Вводные'!$B$70="once"),(3='Вводные'!$B$73),TRUE)),IF(('Вводные'!$B$70="percent"),(D8*('Вводные'!$B$71/100)),('Вводные'!$B$71*((1+('Вводные'!$B$72/100))^MAX(0,(3-'Вводные'!$B$73))))),0)</f>
        <v>35000</v>
      </c>
      <c r="E28" s="2">
        <f>IF(AND(AND((4&gt;='Вводные'!$B$73),(4&lt;='Вводные'!$B$74)),IF(('Вводные'!$B$70="once"),(4='Вводные'!$B$73),TRUE)),IF(('Вводные'!$B$70="percent"),(E8*('Вводные'!$B$71/100)),('Вводные'!$B$71*((1+('Вводные'!$B$72/100))^MAX(0,(4-'Вводные'!$B$73))))),0)</f>
        <v>35000</v>
      </c>
      <c r="F28" s="2">
        <f>IF(AND(AND((5&gt;='Вводные'!$B$73),(5&lt;='Вводные'!$B$74)),IF(('Вводные'!$B$70="once"),(5='Вводные'!$B$73),TRUE)),IF(('Вводные'!$B$70="percent"),(F8*('Вводные'!$B$71/100)),('Вводные'!$B$71*((1+('Вводные'!$B$72/100))^MAX(0,(5-'Вводные'!$B$73))))),0)</f>
        <v>35000</v>
      </c>
      <c r="G28" s="2">
        <f>IF(AND(AND((6&gt;='Вводные'!$B$73),(6&lt;='Вводные'!$B$74)),IF(('Вводные'!$B$70="once"),(6='Вводные'!$B$73),TRUE)),IF(('Вводные'!$B$70="percent"),(G8*('Вводные'!$B$71/100)),('Вводные'!$B$71*((1+('Вводные'!$B$72/100))^MAX(0,(6-'Вводные'!$B$73))))),0)</f>
        <v>35000</v>
      </c>
      <c r="H28" s="2">
        <f>IF(AND(AND((7&gt;='Вводные'!$B$73),(7&lt;='Вводные'!$B$74)),IF(('Вводные'!$B$70="once"),(7='Вводные'!$B$73),TRUE)),IF(('Вводные'!$B$70="percent"),(H8*('Вводные'!$B$71/100)),('Вводные'!$B$71*((1+('Вводные'!$B$72/100))^MAX(0,(7-'Вводные'!$B$73))))),0)</f>
        <v>35000</v>
      </c>
      <c r="I28" s="2">
        <f>IF(AND(AND((8&gt;='Вводные'!$B$73),(8&lt;='Вводные'!$B$74)),IF(('Вводные'!$B$70="once"),(8='Вводные'!$B$73),TRUE)),IF(('Вводные'!$B$70="percent"),(I8*('Вводные'!$B$71/100)),('Вводные'!$B$71*((1+('Вводные'!$B$72/100))^MAX(0,(8-'Вводные'!$B$73))))),0)</f>
        <v>35000</v>
      </c>
      <c r="J28" s="2">
        <f>IF(AND(AND((9&gt;='Вводные'!$B$73),(9&lt;='Вводные'!$B$74)),IF(('Вводные'!$B$70="once"),(9='Вводные'!$B$73),TRUE)),IF(('Вводные'!$B$70="percent"),(J8*('Вводные'!$B$71/100)),('Вводные'!$B$71*((1+('Вводные'!$B$72/100))^MAX(0,(9-'Вводные'!$B$73))))),0)</f>
        <v>35000</v>
      </c>
      <c r="K28" s="2">
        <f>IF(AND(AND((10&gt;='Вводные'!$B$73),(10&lt;='Вводные'!$B$74)),IF(('Вводные'!$B$70="once"),(10='Вводные'!$B$73),TRUE)),IF(('Вводные'!$B$70="percent"),(K8*('Вводные'!$B$71/100)),('Вводные'!$B$71*((1+('Вводные'!$B$72/100))^MAX(0,(10-'Вводные'!$B$73))))),0)</f>
        <v>35000</v>
      </c>
      <c r="L28" s="2">
        <f>IF(AND(AND((11&gt;='Вводные'!$B$73),(11&lt;='Вводные'!$B$74)),IF(('Вводные'!$B$70="once"),(11='Вводные'!$B$73),TRUE)),IF(('Вводные'!$B$70="percent"),(L8*('Вводные'!$B$71/100)),('Вводные'!$B$71*((1+('Вводные'!$B$72/100))^MAX(0,(11-'Вводные'!$B$73))))),0)</f>
        <v>35000</v>
      </c>
      <c r="M28" s="2">
        <f>IF(AND(AND((12&gt;='Вводные'!$B$73),(12&lt;='Вводные'!$B$74)),IF(('Вводные'!$B$70="once"),(12='Вводные'!$B$73),TRUE)),IF(('Вводные'!$B$70="percent"),(M8*('Вводные'!$B$71/100)),('Вводные'!$B$71*((1+('Вводные'!$B$72/100))^MAX(0,(12-'Вводные'!$B$73))))),0)</f>
        <v>35000</v>
      </c>
      <c r="N28" s="2">
        <f>SUM(B28:M28)</f>
        <v>420000</v>
      </c>
      <c r="O28" s="0" t="inlineStr">
        <is>
          <t xml:space="preserve">Прочие расходы</t>
        </is>
      </c>
    </row>
    <row r="29" ht="25" customHeight="1">
      <c r="A29" s="5" t="inlineStr">
        <is>
          <t xml:space="preserve">Прочие расходы — всего</t>
        </is>
      </c>
      <c r="B29" s="2">
        <f>(B27+B28)</f>
        <v>285000</v>
      </c>
      <c r="C29" s="2">
        <f>(C27+C28)</f>
        <v>285000</v>
      </c>
      <c r="D29" s="2">
        <f>(D27+D28)</f>
        <v>285000</v>
      </c>
      <c r="E29" s="2">
        <f>(E27+E28)</f>
        <v>285000</v>
      </c>
      <c r="F29" s="2">
        <f>(F27+F28)</f>
        <v>285000</v>
      </c>
      <c r="G29" s="2">
        <f>(G27+G28)</f>
        <v>285000</v>
      </c>
      <c r="H29" s="2">
        <f>(H27+H28)</f>
        <v>285000</v>
      </c>
      <c r="I29" s="2">
        <f>(I27+I28)</f>
        <v>285000</v>
      </c>
      <c r="J29" s="2">
        <f>(J27+J28)</f>
        <v>285000</v>
      </c>
      <c r="K29" s="2">
        <f>(K27+K28)</f>
        <v>285000</v>
      </c>
      <c r="L29" s="2">
        <f>(L27+L28)</f>
        <v>285000</v>
      </c>
      <c r="M29" s="2">
        <f>(M27+M28)</f>
        <v>285000</v>
      </c>
      <c r="N29" s="2">
        <f>SUM(B29:M29)</f>
        <v>3420000</v>
      </c>
      <c r="O29" s="0" t="inlineStr">
        <is>
          <t xml:space="preserve">Результат</t>
        </is>
      </c>
    </row>
    <row r="30" ht="55" customHeight="1">
      <c r="A30" s="5" t="inlineStr">
        <is>
          <t xml:space="preserve">Операционные расходы</t>
        </is>
      </c>
      <c r="B30" s="2">
        <f>((B17+B23)+B29)</f>
        <v>1095000</v>
      </c>
      <c r="C30" s="2">
        <f>((C17+C23)+C29)</f>
        <v>1095000</v>
      </c>
      <c r="D30" s="2">
        <f>((D17+D23)+D29)</f>
        <v>1095000</v>
      </c>
      <c r="E30" s="2">
        <f>((E17+E23)+E29)</f>
        <v>1095000</v>
      </c>
      <c r="F30" s="2">
        <f>((F17+F23)+F29)</f>
        <v>1095000</v>
      </c>
      <c r="G30" s="2">
        <f>((G17+G23)+G29)</f>
        <v>1095000</v>
      </c>
      <c r="H30" s="2">
        <f>((H17+H23)+H29)</f>
        <v>1095000</v>
      </c>
      <c r="I30" s="2">
        <f>((I17+I23)+I29)</f>
        <v>1095000</v>
      </c>
      <c r="J30" s="2">
        <f>((J17+J23)+J29)</f>
        <v>1095000</v>
      </c>
      <c r="K30" s="2">
        <f>((K17+K23)+K29)</f>
        <v>1095000</v>
      </c>
      <c r="L30" s="2">
        <f>((L17+L23)+L29)</f>
        <v>1095000</v>
      </c>
      <c r="M30" s="2">
        <f>((M17+M23)+M29)</f>
        <v>1095000</v>
      </c>
      <c r="N30" s="2">
        <f>SUM(B30:M30)</f>
        <v>13140000</v>
      </c>
      <c r="O30" s="0" t="inlineStr">
        <is>
          <t xml:space="preserve">Команда + маркетинг + прочие расходы.</t>
        </is>
      </c>
    </row>
    <row r="31" ht="55" customHeight="1">
      <c r="A31" s="5" t="inlineStr">
        <is>
          <t xml:space="preserve">EBITDA</t>
        </is>
      </c>
      <c r="B31" s="2">
        <f>(B10-B30)</f>
        <v>562500</v>
      </c>
      <c r="C31" s="2">
        <f>(C10-C30)</f>
        <v>628800</v>
      </c>
      <c r="D31" s="2">
        <f>(D10-D30)</f>
        <v>697752</v>
      </c>
      <c r="E31" s="2">
        <f>(E10-E30)</f>
        <v>769462.0800000001</v>
      </c>
      <c r="F31" s="2">
        <f>(F10-F30)</f>
        <v>844040.5632000002</v>
      </c>
      <c r="G31" s="2">
        <f>(G10-G30)</f>
        <v>921602.185728</v>
      </c>
      <c r="H31" s="2">
        <f>(H10-H30)</f>
        <v>1002266.2731571207</v>
      </c>
      <c r="I31" s="2">
        <f>(I10-I30)</f>
        <v>1086156.9240834052</v>
      </c>
      <c r="J31" s="2">
        <f>(J10-J30)</f>
        <v>1173403.2010467416</v>
      </c>
      <c r="K31" s="2">
        <f>(K10-K30)</f>
        <v>1264139.3290886115</v>
      </c>
      <c r="L31" s="2">
        <f>(L10-L30)</f>
        <v>1358504.9022521563</v>
      </c>
      <c r="M31" s="2">
        <f>(M10-M30)</f>
        <v>1456645.0983422427</v>
      </c>
      <c r="N31" s="2">
        <f>SUM(B31:M31)</f>
        <v>11765272.556898277</v>
      </c>
      <c r="O31" s="0" t="inlineStr">
        <is>
          <t xml:space="preserve">Валовая прибыль − операционные расходы; до амортизации, процентов и налога.</t>
        </is>
      </c>
    </row>
    <row r="32" ht="25" customHeight="1">
      <c r="A32" s="5" t="inlineStr">
        <is>
          <t xml:space="preserve">Покупка активов</t>
        </is>
      </c>
      <c r="B32" s="2">
        <f>0</f>
        <v>0</v>
      </c>
      <c r="C32" s="2">
        <f>0</f>
        <v>0</v>
      </c>
      <c r="D32" s="2">
        <f>0</f>
        <v>0</v>
      </c>
      <c r="E32" s="2">
        <f>0</f>
        <v>0</v>
      </c>
      <c r="F32" s="2">
        <f>0</f>
        <v>0</v>
      </c>
      <c r="G32" s="2">
        <f>0</f>
        <v>0</v>
      </c>
      <c r="H32" s="2">
        <f>0</f>
        <v>0</v>
      </c>
      <c r="I32" s="2">
        <f>0</f>
        <v>0</v>
      </c>
      <c r="J32" s="2">
        <f>0</f>
        <v>0</v>
      </c>
      <c r="K32" s="2">
        <f>0</f>
        <v>0</v>
      </c>
      <c r="L32" s="2">
        <f>0</f>
        <v>0</v>
      </c>
      <c r="M32" s="2">
        <f>0</f>
        <v>0</v>
      </c>
      <c r="N32" s="2">
        <f>SUM(B32:M32)</f>
        <v>0</v>
      </c>
      <c r="O32" s="0" t="inlineStr">
        <is>
          <t xml:space="preserve">Денежный поток</t>
        </is>
      </c>
    </row>
    <row r="33" ht="55" customHeight="1">
      <c r="A33" s="5" t="inlineStr">
        <is>
          <t xml:space="preserve">Амортизация</t>
        </is>
      </c>
      <c r="B33" s="2">
        <f>(IF(AND(('Вводные'!$B$13&gt;0),(1&lt;='Вводные'!$B$13)),('Вводные'!$B$12/MAX(1,'Вводные'!$B$13)),0)+0)</f>
        <v>83333.33333333333</v>
      </c>
      <c r="C33" s="2">
        <f>(IF(AND(('Вводные'!$B$13&gt;0),(2&lt;='Вводные'!$B$13)),('Вводные'!$B$12/MAX(1,'Вводные'!$B$13)),0)+0)</f>
        <v>83333.33333333333</v>
      </c>
      <c r="D33" s="2">
        <f>(IF(AND(('Вводные'!$B$13&gt;0),(3&lt;='Вводные'!$B$13)),('Вводные'!$B$12/MAX(1,'Вводные'!$B$13)),0)+0)</f>
        <v>83333.33333333333</v>
      </c>
      <c r="E33" s="2">
        <f>(IF(AND(('Вводные'!$B$13&gt;0),(4&lt;='Вводные'!$B$13)),('Вводные'!$B$12/MAX(1,'Вводные'!$B$13)),0)+0)</f>
        <v>83333.33333333333</v>
      </c>
      <c r="F33" s="2">
        <f>(IF(AND(('Вводные'!$B$13&gt;0),(5&lt;='Вводные'!$B$13)),('Вводные'!$B$12/MAX(1,'Вводные'!$B$13)),0)+0)</f>
        <v>83333.33333333333</v>
      </c>
      <c r="G33" s="2">
        <f>(IF(AND(('Вводные'!$B$13&gt;0),(6&lt;='Вводные'!$B$13)),('Вводные'!$B$12/MAX(1,'Вводные'!$B$13)),0)+0)</f>
        <v>83333.33333333333</v>
      </c>
      <c r="H33" s="2">
        <f>(IF(AND(('Вводные'!$B$13&gt;0),(7&lt;='Вводные'!$B$13)),('Вводные'!$B$12/MAX(1,'Вводные'!$B$13)),0)+0)</f>
        <v>83333.33333333333</v>
      </c>
      <c r="I33" s="2">
        <f>(IF(AND(('Вводные'!$B$13&gt;0),(8&lt;='Вводные'!$B$13)),('Вводные'!$B$12/MAX(1,'Вводные'!$B$13)),0)+0)</f>
        <v>83333.33333333333</v>
      </c>
      <c r="J33" s="2">
        <f>(IF(AND(('Вводные'!$B$13&gt;0),(9&lt;='Вводные'!$B$13)),('Вводные'!$B$12/MAX(1,'Вводные'!$B$13)),0)+0)</f>
        <v>83333.33333333333</v>
      </c>
      <c r="K33" s="2">
        <f>(IF(AND(('Вводные'!$B$13&gt;0),(10&lt;='Вводные'!$B$13)),('Вводные'!$B$12/MAX(1,'Вводные'!$B$13)),0)+0)</f>
        <v>83333.33333333333</v>
      </c>
      <c r="L33" s="2">
        <f>(IF(AND(('Вводные'!$B$13&gt;0),(11&lt;='Вводные'!$B$13)),('Вводные'!$B$12/MAX(1,'Вводные'!$B$13)),0)+0)</f>
        <v>83333.33333333333</v>
      </c>
      <c r="M33" s="2">
        <f>(IF(AND(('Вводные'!$B$13&gt;0),(12&lt;='Вводные'!$B$13)),('Вводные'!$B$12/MAX(1,'Вводные'!$B$13)),0)+0)</f>
        <v>83333.33333333333</v>
      </c>
      <c r="N33" s="2">
        <f>SUM(B33:M33)</f>
        <v>1000000.0000000001</v>
      </c>
      <c r="O33" s="0" t="inlineStr">
        <is>
          <t xml:space="preserve">Стоимость / срок в месяцах, начиная с месяца покупки. Покупка уменьшает деньги, амортизация — прибыль.</t>
        </is>
      </c>
    </row>
    <row r="34" ht="25" customHeight="1">
      <c r="A34" s="5" t="inlineStr">
        <is>
          <t xml:space="preserve">Операционная прибыль (EBIT)</t>
        </is>
      </c>
      <c r="B34" s="2">
        <f>(B31-B33)</f>
        <v>479166.6666666667</v>
      </c>
      <c r="C34" s="2">
        <f>(C31-C33)</f>
        <v>545466.6666666666</v>
      </c>
      <c r="D34" s="2">
        <f>(D31-D33)</f>
        <v>614418.6666666666</v>
      </c>
      <c r="E34" s="2">
        <f>(E31-E33)</f>
        <v>686128.7466666667</v>
      </c>
      <c r="F34" s="2">
        <f>(F31-F33)</f>
        <v>760707.2298666668</v>
      </c>
      <c r="G34" s="2">
        <f>(G31-G33)</f>
        <v>838268.8523946666</v>
      </c>
      <c r="H34" s="2">
        <f>(H31-H33)</f>
        <v>918932.9398237873</v>
      </c>
      <c r="I34" s="2">
        <f>(I31-I33)</f>
        <v>1002823.5907500718</v>
      </c>
      <c r="J34" s="2">
        <f>(J31-J33)</f>
        <v>1090069.8677134083</v>
      </c>
      <c r="K34" s="2">
        <f>(K31-K33)</f>
        <v>1180805.9957552783</v>
      </c>
      <c r="L34" s="2">
        <f>(L31-L33)</f>
        <v>1275171.568918823</v>
      </c>
      <c r="M34" s="2">
        <f>(M31-M33)</f>
        <v>1373311.7650089094</v>
      </c>
      <c r="N34" s="2">
        <f>SUM(B34:M34)</f>
        <v>10765272.55689828</v>
      </c>
      <c r="O34" s="0" t="inlineStr">
        <is>
          <t xml:space="preserve">Результат</t>
        </is>
      </c>
    </row>
    <row r="35" ht="25" customHeight="1">
      <c r="A35" s="5" t="inlineStr">
        <is>
          <t xml:space="preserve">Кредит на начало месяца</t>
        </is>
      </c>
      <c r="B35" s="2">
        <f>IF((1&lt;='Вводные'!$B$16),MAX(0,IF(((('Вводные'!$B$15/100)/12)&gt;0),(('Вводные'!$B$14*((1+(('Вводные'!$B$15/100)/12))^0))-(IF(((('Вводные'!$B$15/100)/12)&gt;0),(('Вводные'!$B$14*(('Вводные'!$B$15/100)/12))/(1-((1+(('Вводные'!$B$15/100)/12))^(-1*'Вводные'!$B$16)))),('Вводные'!$B$14/'Вводные'!$B$16))*((((1+(('Вводные'!$B$15/100)/12))^0)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0)))),0)</f>
        <v>0</v>
      </c>
      <c r="C35" s="2">
        <f>IF((2&lt;='Вводные'!$B$16),MAX(0,IF(((('Вводные'!$B$15/100)/12)&gt;0),(('Вводные'!$B$14*((1+(('Вводные'!$B$15/100)/12))^1))-(IF(((('Вводные'!$B$15/100)/12)&gt;0),(('Вводные'!$B$14*(('Вводные'!$B$15/100)/12))/(1-((1+(('Вводные'!$B$15/100)/12))^(-1*'Вводные'!$B$16)))),('Вводные'!$B$14/'Вводные'!$B$16))*((((1+(('Вводные'!$B$15/100)/12))^1)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1)))),0)</f>
        <v>0</v>
      </c>
      <c r="D35" s="2">
        <f>IF((3&lt;='Вводные'!$B$16),MAX(0,IF(((('Вводные'!$B$15/100)/12)&gt;0),(('Вводные'!$B$14*((1+(('Вводные'!$B$15/100)/12))^2))-(IF(((('Вводные'!$B$15/100)/12)&gt;0),(('Вводные'!$B$14*(('Вводные'!$B$15/100)/12))/(1-((1+(('Вводные'!$B$15/100)/12))^(-1*'Вводные'!$B$16)))),('Вводные'!$B$14/'Вводные'!$B$16))*((((1+(('Вводные'!$B$15/100)/12))^2)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2)))),0)</f>
        <v>0</v>
      </c>
      <c r="E35" s="2">
        <f>IF((4&lt;='Вводные'!$B$16),MAX(0,IF(((('Вводные'!$B$15/100)/12)&gt;0),(('Вводные'!$B$14*((1+(('Вводные'!$B$15/100)/12))^3))-(IF(((('Вводные'!$B$15/100)/12)&gt;0),(('Вводные'!$B$14*(('Вводные'!$B$15/100)/12))/(1-((1+(('Вводные'!$B$15/100)/12))^(-1*'Вводные'!$B$16)))),('Вводные'!$B$14/'Вводные'!$B$16))*((((1+(('Вводные'!$B$15/100)/12))^3)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3)))),0)</f>
        <v>0</v>
      </c>
      <c r="F35" s="2">
        <f>IF((5&lt;='Вводные'!$B$16),MAX(0,IF(((('Вводные'!$B$15/100)/12)&gt;0),(('Вводные'!$B$14*((1+(('Вводные'!$B$15/100)/12))^4))-(IF(((('Вводные'!$B$15/100)/12)&gt;0),(('Вводные'!$B$14*(('Вводные'!$B$15/100)/12))/(1-((1+(('Вводные'!$B$15/100)/12))^(-1*'Вводные'!$B$16)))),('Вводные'!$B$14/'Вводные'!$B$16))*((((1+(('Вводные'!$B$15/100)/12))^4)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4)))),0)</f>
        <v>0</v>
      </c>
      <c r="G35" s="2">
        <f>IF((6&lt;='Вводные'!$B$16),MAX(0,IF(((('Вводные'!$B$15/100)/12)&gt;0),(('Вводные'!$B$14*((1+(('Вводные'!$B$15/100)/12))^5))-(IF(((('Вводные'!$B$15/100)/12)&gt;0),(('Вводные'!$B$14*(('Вводные'!$B$15/100)/12))/(1-((1+(('Вводные'!$B$15/100)/12))^(-1*'Вводные'!$B$16)))),('Вводные'!$B$14/'Вводные'!$B$16))*((((1+(('Вводные'!$B$15/100)/12))^5)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5)))),0)</f>
        <v>0</v>
      </c>
      <c r="H35" s="2">
        <f>IF((7&lt;='Вводные'!$B$16),MAX(0,IF(((('Вводные'!$B$15/100)/12)&gt;0),(('Вводные'!$B$14*((1+(('Вводные'!$B$15/100)/12))^6))-(IF(((('Вводные'!$B$15/100)/12)&gt;0),(('Вводные'!$B$14*(('Вводные'!$B$15/100)/12))/(1-((1+(('Вводные'!$B$15/100)/12))^(-1*'Вводные'!$B$16)))),('Вводные'!$B$14/'Вводные'!$B$16))*((((1+(('Вводные'!$B$15/100)/12))^6)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6)))),0)</f>
        <v>0</v>
      </c>
      <c r="I35" s="2">
        <f>IF((8&lt;='Вводные'!$B$16),MAX(0,IF(((('Вводные'!$B$15/100)/12)&gt;0),(('Вводные'!$B$14*((1+(('Вводные'!$B$15/100)/12))^7))-(IF(((('Вводные'!$B$15/100)/12)&gt;0),(('Вводные'!$B$14*(('Вводные'!$B$15/100)/12))/(1-((1+(('Вводные'!$B$15/100)/12))^(-1*'Вводные'!$B$16)))),('Вводные'!$B$14/'Вводные'!$B$16))*((((1+(('Вводные'!$B$15/100)/12))^7)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7)))),0)</f>
        <v>0</v>
      </c>
      <c r="J35" s="2">
        <f>IF((9&lt;='Вводные'!$B$16),MAX(0,IF(((('Вводные'!$B$15/100)/12)&gt;0),(('Вводные'!$B$14*((1+(('Вводные'!$B$15/100)/12))^8))-(IF(((('Вводные'!$B$15/100)/12)&gt;0),(('Вводные'!$B$14*(('Вводные'!$B$15/100)/12))/(1-((1+(('Вводные'!$B$15/100)/12))^(-1*'Вводные'!$B$16)))),('Вводные'!$B$14/'Вводные'!$B$16))*((((1+(('Вводные'!$B$15/100)/12))^8)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8)))),0)</f>
        <v>0</v>
      </c>
      <c r="K35" s="2">
        <f>IF((10&lt;='Вводные'!$B$16),MAX(0,IF(((('Вводные'!$B$15/100)/12)&gt;0),(('Вводные'!$B$14*((1+(('Вводные'!$B$15/100)/12))^9))-(IF(((('Вводные'!$B$15/100)/12)&gt;0),(('Вводные'!$B$14*(('Вводные'!$B$15/100)/12))/(1-((1+(('Вводные'!$B$15/100)/12))^(-1*'Вводные'!$B$16)))),('Вводные'!$B$14/'Вводные'!$B$16))*((((1+(('Вводные'!$B$15/100)/12))^9)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9)))),0)</f>
        <v>0</v>
      </c>
      <c r="L35" s="2">
        <f>IF((11&lt;='Вводные'!$B$16),MAX(0,IF(((('Вводные'!$B$15/100)/12)&gt;0),(('Вводные'!$B$14*((1+(('Вводные'!$B$15/100)/12))^10))-(IF(((('Вводные'!$B$15/100)/12)&gt;0),(('Вводные'!$B$14*(('Вводные'!$B$15/100)/12))/(1-((1+(('Вводные'!$B$15/100)/12))^(-1*'Вводные'!$B$16)))),('Вводные'!$B$14/'Вводные'!$B$16))*((((1+(('Вводные'!$B$15/100)/12))^10)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10)))),0)</f>
        <v>0</v>
      </c>
      <c r="M35" s="2">
        <f>IF((12&lt;='Вводные'!$B$16),MAX(0,IF(((('Вводные'!$B$15/100)/12)&gt;0),(('Вводные'!$B$14*((1+(('Вводные'!$B$15/100)/12))^11))-(IF(((('Вводные'!$B$15/100)/12)&gt;0),(('Вводные'!$B$14*(('Вводные'!$B$15/100)/12))/(1-((1+(('Вводные'!$B$15/100)/12))^(-1*'Вводные'!$B$16)))),('Вводные'!$B$14/'Вводные'!$B$16))*((((1+(('Вводные'!$B$15/100)/12))^11)-1)/(('Вводные'!$B$15/100)/12)))),('Вводные'!$B$14-(IF(((('Вводные'!$B$15/100)/12)&gt;0),(('Вводные'!$B$14*(('Вводные'!$B$15/100)/12))/(1-((1+(('Вводные'!$B$15/100)/12))^(-1*'Вводные'!$B$16)))),('Вводные'!$B$14/'Вводные'!$B$16))*11)))),0)</f>
        <v>0</v>
      </c>
      <c r="N35" s="2">
        <f>M35</f>
        <v>0</v>
      </c>
      <c r="O35" s="0" t="inlineStr">
        <is>
          <t xml:space="preserve">Кредит</t>
        </is>
      </c>
    </row>
    <row r="36" ht="25" customHeight="1">
      <c r="A36" s="5" t="inlineStr">
        <is>
          <t xml:space="preserve">Проценты по кредиту</t>
        </is>
      </c>
      <c r="B36" s="2">
        <f>(B35*(('Вводные'!$B$15/100)/12))</f>
        <v>0</v>
      </c>
      <c r="C36" s="2">
        <f>(C35*(('Вводные'!$B$15/100)/12))</f>
        <v>0</v>
      </c>
      <c r="D36" s="2">
        <f>(D35*(('Вводные'!$B$15/100)/12))</f>
        <v>0</v>
      </c>
      <c r="E36" s="2">
        <f>(E35*(('Вводные'!$B$15/100)/12))</f>
        <v>0</v>
      </c>
      <c r="F36" s="2">
        <f>(F35*(('Вводные'!$B$15/100)/12))</f>
        <v>0</v>
      </c>
      <c r="G36" s="2">
        <f>(G35*(('Вводные'!$B$15/100)/12))</f>
        <v>0</v>
      </c>
      <c r="H36" s="2">
        <f>(H35*(('Вводные'!$B$15/100)/12))</f>
        <v>0</v>
      </c>
      <c r="I36" s="2">
        <f>(I35*(('Вводные'!$B$15/100)/12))</f>
        <v>0</v>
      </c>
      <c r="J36" s="2">
        <f>(J35*(('Вводные'!$B$15/100)/12))</f>
        <v>0</v>
      </c>
      <c r="K36" s="2">
        <f>(K35*(('Вводные'!$B$15/100)/12))</f>
        <v>0</v>
      </c>
      <c r="L36" s="2">
        <f>(L35*(('Вводные'!$B$15/100)/12))</f>
        <v>0</v>
      </c>
      <c r="M36" s="2">
        <f>(M35*(('Вводные'!$B$15/100)/12))</f>
        <v>0</v>
      </c>
      <c r="N36" s="2">
        <f>SUM(B36:M36)</f>
        <v>0</v>
      </c>
      <c r="O36" s="0" t="inlineStr">
        <is>
          <t xml:space="preserve">Результат</t>
        </is>
      </c>
    </row>
    <row r="37" ht="55" customHeight="1">
      <c r="A37" s="5" t="inlineStr">
        <is>
          <t xml:space="preserve">Погашение тела кредита</t>
        </is>
      </c>
      <c r="B37" s="2">
        <f>IF((1&lt;='Вводные'!$B$16),MIN(B35,MAX(0,(IF(((('Вводные'!$B$15/100)/12)&gt;0),(('Вводные'!$B$14*(('Вводные'!$B$15/100)/12))/(1-((1+(('Вводные'!$B$15/100)/12))^(-1*'Вводные'!$B$16)))),('Вводные'!$B$14/'Вводные'!$B$16))-B36))),0)</f>
        <v>0</v>
      </c>
      <c r="C37" s="2">
        <f>IF((2&lt;='Вводные'!$B$16),MIN(C35,MAX(0,(IF(((('Вводные'!$B$15/100)/12)&gt;0),(('Вводные'!$B$14*(('Вводные'!$B$15/100)/12))/(1-((1+(('Вводные'!$B$15/100)/12))^(-1*'Вводные'!$B$16)))),('Вводные'!$B$14/'Вводные'!$B$16))-C36))),0)</f>
        <v>0</v>
      </c>
      <c r="D37" s="2">
        <f>IF((3&lt;='Вводные'!$B$16),MIN(D35,MAX(0,(IF(((('Вводные'!$B$15/100)/12)&gt;0),(('Вводные'!$B$14*(('Вводные'!$B$15/100)/12))/(1-((1+(('Вводные'!$B$15/100)/12))^(-1*'Вводные'!$B$16)))),('Вводные'!$B$14/'Вводные'!$B$16))-D36))),0)</f>
        <v>0</v>
      </c>
      <c r="E37" s="2">
        <f>IF((4&lt;='Вводные'!$B$16),MIN(E35,MAX(0,(IF(((('Вводные'!$B$15/100)/12)&gt;0),(('Вводные'!$B$14*(('Вводные'!$B$15/100)/12))/(1-((1+(('Вводные'!$B$15/100)/12))^(-1*'Вводные'!$B$16)))),('Вводные'!$B$14/'Вводные'!$B$16))-E36))),0)</f>
        <v>0</v>
      </c>
      <c r="F37" s="2">
        <f>IF((5&lt;='Вводные'!$B$16),MIN(F35,MAX(0,(IF(((('Вводные'!$B$15/100)/12)&gt;0),(('Вводные'!$B$14*(('Вводные'!$B$15/100)/12))/(1-((1+(('Вводные'!$B$15/100)/12))^(-1*'Вводные'!$B$16)))),('Вводные'!$B$14/'Вводные'!$B$16))-F36))),0)</f>
        <v>0</v>
      </c>
      <c r="G37" s="2">
        <f>IF((6&lt;='Вводные'!$B$16),MIN(G35,MAX(0,(IF(((('Вводные'!$B$15/100)/12)&gt;0),(('Вводные'!$B$14*(('Вводные'!$B$15/100)/12))/(1-((1+(('Вводные'!$B$15/100)/12))^(-1*'Вводные'!$B$16)))),('Вводные'!$B$14/'Вводные'!$B$16))-G36))),0)</f>
        <v>0</v>
      </c>
      <c r="H37" s="2">
        <f>IF((7&lt;='Вводные'!$B$16),MIN(H35,MAX(0,(IF(((('Вводные'!$B$15/100)/12)&gt;0),(('Вводные'!$B$14*(('Вводные'!$B$15/100)/12))/(1-((1+(('Вводные'!$B$15/100)/12))^(-1*'Вводные'!$B$16)))),('Вводные'!$B$14/'Вводные'!$B$16))-H36))),0)</f>
        <v>0</v>
      </c>
      <c r="I37" s="2">
        <f>IF((8&lt;='Вводные'!$B$16),MIN(I35,MAX(0,(IF(((('Вводные'!$B$15/100)/12)&gt;0),(('Вводные'!$B$14*(('Вводные'!$B$15/100)/12))/(1-((1+(('Вводные'!$B$15/100)/12))^(-1*'Вводные'!$B$16)))),('Вводные'!$B$14/'Вводные'!$B$16))-I36))),0)</f>
        <v>0</v>
      </c>
      <c r="J37" s="2">
        <f>IF((9&lt;='Вводные'!$B$16),MIN(J35,MAX(0,(IF(((('Вводные'!$B$15/100)/12)&gt;0),(('Вводные'!$B$14*(('Вводные'!$B$15/100)/12))/(1-((1+(('Вводные'!$B$15/100)/12))^(-1*'Вводные'!$B$16)))),('Вводные'!$B$14/'Вводные'!$B$16))-J36))),0)</f>
        <v>0</v>
      </c>
      <c r="K37" s="2">
        <f>IF((10&lt;='Вводные'!$B$16),MIN(K35,MAX(0,(IF(((('Вводные'!$B$15/100)/12)&gt;0),(('Вводные'!$B$14*(('Вводные'!$B$15/100)/12))/(1-((1+(('Вводные'!$B$15/100)/12))^(-1*'Вводные'!$B$16)))),('Вводные'!$B$14/'Вводные'!$B$16))-K36))),0)</f>
        <v>0</v>
      </c>
      <c r="L37" s="2">
        <f>IF((11&lt;='Вводные'!$B$16),MIN(L35,MAX(0,(IF(((('Вводные'!$B$15/100)/12)&gt;0),(('Вводные'!$B$14*(('Вводные'!$B$15/100)/12))/(1-((1+(('Вводные'!$B$15/100)/12))^(-1*'Вводные'!$B$16)))),('Вводные'!$B$14/'Вводные'!$B$16))-L36))),0)</f>
        <v>0</v>
      </c>
      <c r="M37" s="2">
        <f>IF((12&lt;='Вводные'!$B$16),MIN(M35,MAX(0,(IF(((('Вводные'!$B$15/100)/12)&gt;0),(('Вводные'!$B$14*(('Вводные'!$B$15/100)/12))/(1-((1+(('Вводные'!$B$15/100)/12))^(-1*'Вводные'!$B$16)))),('Вводные'!$B$14/'Вводные'!$B$16))-M36))),0)</f>
        <v>0</v>
      </c>
      <c r="N37" s="2">
        <f>SUM(B37:M37)</f>
        <v>0</v>
      </c>
      <c r="O37" s="0" t="inlineStr">
        <is>
          <t xml:space="preserve">Аннуитетный платёж − проценты. Тело кредита уменьшает деньги, но не прибыль.</t>
        </is>
      </c>
    </row>
    <row r="38" ht="25" customHeight="1">
      <c r="A38" s="5" t="inlineStr">
        <is>
          <t xml:space="preserve">Кредит на конец месяца</t>
        </is>
      </c>
      <c r="B38" s="2">
        <f>MAX(0,(B35-B37))</f>
        <v>0</v>
      </c>
      <c r="C38" s="2">
        <f>MAX(0,(C35-C37))</f>
        <v>0</v>
      </c>
      <c r="D38" s="2">
        <f>MAX(0,(D35-D37))</f>
        <v>0</v>
      </c>
      <c r="E38" s="2">
        <f>MAX(0,(E35-E37))</f>
        <v>0</v>
      </c>
      <c r="F38" s="2">
        <f>MAX(0,(F35-F37))</f>
        <v>0</v>
      </c>
      <c r="G38" s="2">
        <f>MAX(0,(G35-G37))</f>
        <v>0</v>
      </c>
      <c r="H38" s="2">
        <f>MAX(0,(H35-H37))</f>
        <v>0</v>
      </c>
      <c r="I38" s="2">
        <f>MAX(0,(I35-I37))</f>
        <v>0</v>
      </c>
      <c r="J38" s="2">
        <f>MAX(0,(J35-J37))</f>
        <v>0</v>
      </c>
      <c r="K38" s="2">
        <f>MAX(0,(K35-K37))</f>
        <v>0</v>
      </c>
      <c r="L38" s="2">
        <f>MAX(0,(L35-L37))</f>
        <v>0</v>
      </c>
      <c r="M38" s="2">
        <f>MAX(0,(M35-M37))</f>
        <v>0</v>
      </c>
      <c r="N38" s="2">
        <f>M38</f>
        <v>0</v>
      </c>
      <c r="O38" s="0" t="inlineStr">
        <is>
          <t xml:space="preserve">Кредит</t>
        </is>
      </c>
    </row>
    <row r="39" ht="25" customHeight="1">
      <c r="A39" s="5" t="inlineStr">
        <is>
          <t xml:space="preserve">Прибыль до налога</t>
        </is>
      </c>
      <c r="B39" s="2">
        <f>(B34-B36)</f>
        <v>479166.6666666667</v>
      </c>
      <c r="C39" s="2">
        <f>(C34-C36)</f>
        <v>545466.6666666666</v>
      </c>
      <c r="D39" s="2">
        <f>(D34-D36)</f>
        <v>614418.6666666666</v>
      </c>
      <c r="E39" s="2">
        <f>(E34-E36)</f>
        <v>686128.7466666667</v>
      </c>
      <c r="F39" s="2">
        <f>(F34-F36)</f>
        <v>760707.2298666668</v>
      </c>
      <c r="G39" s="2">
        <f>(G34-G36)</f>
        <v>838268.8523946666</v>
      </c>
      <c r="H39" s="2">
        <f>(H34-H36)</f>
        <v>918932.9398237873</v>
      </c>
      <c r="I39" s="2">
        <f>(I34-I36)</f>
        <v>1002823.5907500718</v>
      </c>
      <c r="J39" s="2">
        <f>(J34-J36)</f>
        <v>1090069.8677134083</v>
      </c>
      <c r="K39" s="2">
        <f>(K34-K36)</f>
        <v>1180805.9957552783</v>
      </c>
      <c r="L39" s="2">
        <f>(L34-L36)</f>
        <v>1275171.568918823</v>
      </c>
      <c r="M39" s="2">
        <f>(M34-M36)</f>
        <v>1373311.7650089094</v>
      </c>
      <c r="N39" s="2">
        <f>SUM(B39:M39)</f>
        <v>10765272.55689828</v>
      </c>
      <c r="O39" s="0" t="inlineStr">
        <is>
          <t xml:space="preserve">Результат</t>
        </is>
      </c>
    </row>
    <row r="40" ht="55" customHeight="1">
      <c r="A40" s="5" t="inlineStr">
        <is>
          <t xml:space="preserve">Условный налог</t>
        </is>
      </c>
      <c r="B40" s="2">
        <f>IF(('Вводные'!$B$6="none"),0,(IF(('Вводные'!$B$6="revenue"),B8,MAX(0,B39))*('Вводные'!$B$7/100)))</f>
        <v>47916.66666666667</v>
      </c>
      <c r="C40" s="2">
        <f>IF(('Вводные'!$B$6="none"),0,(IF(('Вводные'!$B$6="revenue"),C8,MAX(0,C39))*('Вводные'!$B$7/100)))</f>
        <v>54546.666666666664</v>
      </c>
      <c r="D40" s="2">
        <f>IF(('Вводные'!$B$6="none"),0,(IF(('Вводные'!$B$6="revenue"),D8,MAX(0,D39))*('Вводные'!$B$7/100)))</f>
        <v>61441.86666666667</v>
      </c>
      <c r="E40" s="2">
        <f>IF(('Вводные'!$B$6="none"),0,(IF(('Вводные'!$B$6="revenue"),E8,MAX(0,E39))*('Вводные'!$B$7/100)))</f>
        <v>68612.87466666667</v>
      </c>
      <c r="F40" s="2">
        <f>IF(('Вводные'!$B$6="none"),0,(IF(('Вводные'!$B$6="revenue"),F8,MAX(0,F39))*('Вводные'!$B$7/100)))</f>
        <v>76070.72298666669</v>
      </c>
      <c r="G40" s="2">
        <f>IF(('Вводные'!$B$6="none"),0,(IF(('Вводные'!$B$6="revenue"),G8,MAX(0,G39))*('Вводные'!$B$7/100)))</f>
        <v>83826.88523946668</v>
      </c>
      <c r="H40" s="2">
        <f>IF(('Вводные'!$B$6="none"),0,(IF(('Вводные'!$B$6="revenue"),H8,MAX(0,H39))*('Вводные'!$B$7/100)))</f>
        <v>91893.29398237873</v>
      </c>
      <c r="I40" s="2">
        <f>IF(('Вводные'!$B$6="none"),0,(IF(('Вводные'!$B$6="revenue"),I8,MAX(0,I39))*('Вводные'!$B$7/100)))</f>
        <v>100282.35907500719</v>
      </c>
      <c r="J40" s="2">
        <f>IF(('Вводные'!$B$6="none"),0,(IF(('Вводные'!$B$6="revenue"),J8,MAX(0,J39))*('Вводные'!$B$7/100)))</f>
        <v>109006.98677134083</v>
      </c>
      <c r="K40" s="2">
        <f>IF(('Вводные'!$B$6="none"),0,(IF(('Вводные'!$B$6="revenue"),K8,MAX(0,K39))*('Вводные'!$B$7/100)))</f>
        <v>118080.59957552783</v>
      </c>
      <c r="L40" s="2">
        <f>IF(('Вводные'!$B$6="none"),0,(IF(('Вводные'!$B$6="revenue"),L8,MAX(0,L39))*('Вводные'!$B$7/100)))</f>
        <v>127517.1568918823</v>
      </c>
      <c r="M40" s="2">
        <f>IF(('Вводные'!$B$6="none"),0,(IF(('Вводные'!$B$6="revenue"),M8,MAX(0,M39))*('Вводные'!$B$7/100)))</f>
        <v>137331.17650089096</v>
      </c>
      <c r="N40" s="2">
        <f>SUM(B40:M40)</f>
        <v>1076527.255689828</v>
      </c>
      <c r="O40" s="0" t="inlineStr">
        <is>
          <t xml:space="preserve">Ваша ставка × оборот или положительная прибыль месяца. Без переноса убытков. Оплата в том же месяце.</t>
        </is>
      </c>
    </row>
    <row r="41" ht="55" customHeight="1">
      <c r="A41" s="5" t="inlineStr">
        <is>
          <t xml:space="preserve">Чистая прибыль</t>
        </is>
      </c>
      <c r="B41" s="2">
        <f>(B39-B40)</f>
        <v>431250</v>
      </c>
      <c r="C41" s="2">
        <f>(C39-C40)</f>
        <v>490919.99999999994</v>
      </c>
      <c r="D41" s="2">
        <f>(D39-D40)</f>
        <v>552976.7999999999</v>
      </c>
      <c r="E41" s="2">
        <f>(E39-E40)</f>
        <v>617515.872</v>
      </c>
      <c r="F41" s="2">
        <f>(F39-F40)</f>
        <v>684636.5068800001</v>
      </c>
      <c r="G41" s="2">
        <f>(G39-G40)</f>
        <v>754441.9671552</v>
      </c>
      <c r="H41" s="2">
        <f>(H39-H40)</f>
        <v>827039.6458414085</v>
      </c>
      <c r="I41" s="2">
        <f>(I39-I40)</f>
        <v>902541.2316750647</v>
      </c>
      <c r="J41" s="2">
        <f>(J39-J40)</f>
        <v>981062.8809420675</v>
      </c>
      <c r="K41" s="2">
        <f>(K39-K40)</f>
        <v>1062725.3961797506</v>
      </c>
      <c r="L41" s="2">
        <f>(L39-L40)</f>
        <v>1147654.4120269408</v>
      </c>
      <c r="M41" s="2">
        <f>(M39-M40)</f>
        <v>1235980.5885080185</v>
      </c>
      <c r="N41" s="2">
        <f>SUM(B41:M41)</f>
        <v>9688745.30120845</v>
      </c>
      <c r="O41" s="0" t="inlineStr">
        <is>
          <t xml:space="preserve">Выручка − себестоимость − команда − маркетинг − прочие − амортизация − проценты − налог.</t>
        </is>
      </c>
    </row>
    <row r="42" ht="25" customHeight="1">
      <c r="A42" s="5" t="inlineStr">
        <is>
          <t xml:space="preserve">Все расходы в прибыли</t>
        </is>
      </c>
      <c r="B42" s="2">
        <f>(B8-B41)</f>
        <v>2118750</v>
      </c>
      <c r="C42" s="2">
        <f>(C8-C41)</f>
        <v>2161080</v>
      </c>
      <c r="D42" s="2">
        <f>(D8-D41)</f>
        <v>2205103.2</v>
      </c>
      <c r="E42" s="2">
        <f>(E8-E41)</f>
        <v>2250887.328</v>
      </c>
      <c r="F42" s="2">
        <f>(F8-F41)</f>
        <v>2298502.82112</v>
      </c>
      <c r="G42" s="2">
        <f>(G8-G41)</f>
        <v>2348022.9339648</v>
      </c>
      <c r="H42" s="2">
        <f>(H8-H41)</f>
        <v>2399523.8513233922</v>
      </c>
      <c r="I42" s="2">
        <f>(I8-I41)</f>
        <v>2453084.805376328</v>
      </c>
      <c r="J42" s="2">
        <f>(J8-J41)</f>
        <v>2508788.1975913807</v>
      </c>
      <c r="K42" s="2">
        <f>(K8-K41)</f>
        <v>2566719.7254950358</v>
      </c>
      <c r="L42" s="2">
        <f>(L8-L41)</f>
        <v>2626968.5145148374</v>
      </c>
      <c r="M42" s="2">
        <f>(M8-M41)</f>
        <v>2689627.2550954316</v>
      </c>
      <c r="N42" s="2">
        <f>SUM(B42:M42)</f>
        <v>28627058.632481202</v>
      </c>
      <c r="O42" s="0" t="inlineStr">
        <is>
          <t xml:space="preserve">Результат</t>
        </is>
      </c>
    </row>
    <row r="43" ht="25" customHeight="1">
      <c r="A43" s="5" t="inlineStr">
        <is>
          <t xml:space="preserve">Оплата от клиентов</t>
        </is>
      </c>
      <c r="B43" s="2">
        <f>IF(1-'Вводные'!$B$8&gt;0,INDEX($B$8:$M$8,1,MAX(1,1-'Вводные'!$B$8)),0)</f>
        <v>2550000</v>
      </c>
      <c r="C43" s="2">
        <f>IF(2-'Вводные'!$B$8&gt;0,INDEX($B$8:$M$8,1,MAX(1,2-'Вводные'!$B$8)),0)</f>
        <v>2652000</v>
      </c>
      <c r="D43" s="2">
        <f>IF(3-'Вводные'!$B$8&gt;0,INDEX($B$8:$M$8,1,MAX(1,3-'Вводные'!$B$8)),0)</f>
        <v>2758080</v>
      </c>
      <c r="E43" s="2">
        <f>IF(4-'Вводные'!$B$8&gt;0,INDEX($B$8:$M$8,1,MAX(1,4-'Вводные'!$B$8)),0)</f>
        <v>2868403.2</v>
      </c>
      <c r="F43" s="2">
        <f>IF(5-'Вводные'!$B$8&gt;0,INDEX($B$8:$M$8,1,MAX(1,5-'Вводные'!$B$8)),0)</f>
        <v>2983139.328</v>
      </c>
      <c r="G43" s="2">
        <f>IF(6-'Вводные'!$B$8&gt;0,INDEX($B$8:$M$8,1,MAX(1,6-'Вводные'!$B$8)),0)</f>
        <v>3102464.90112</v>
      </c>
      <c r="H43" s="2">
        <f>IF(7-'Вводные'!$B$8&gt;0,INDEX($B$8:$M$8,1,MAX(1,7-'Вводные'!$B$8)),0)</f>
        <v>3226563.4971648008</v>
      </c>
      <c r="I43" s="2">
        <f>IF(8-'Вводные'!$B$8&gt;0,INDEX($B$8:$M$8,1,MAX(1,8-'Вводные'!$B$8)),0)</f>
        <v>3355626.0370513927</v>
      </c>
      <c r="J43" s="2">
        <f>IF(9-'Вводные'!$B$8&gt;0,INDEX($B$8:$M$8,1,MAX(1,9-'Вводные'!$B$8)),0)</f>
        <v>3489851.0785334483</v>
      </c>
      <c r="K43" s="2">
        <f>IF(10-'Вводные'!$B$8&gt;0,INDEX($B$8:$M$8,1,MAX(1,10-'Вводные'!$B$8)),0)</f>
        <v>3629445.1216747863</v>
      </c>
      <c r="L43" s="2">
        <f>IF(11-'Вводные'!$B$8&gt;0,INDEX($B$8:$M$8,1,MAX(1,11-'Вводные'!$B$8)),0)</f>
        <v>3774622.9265417783</v>
      </c>
      <c r="M43" s="2">
        <f>IF(12-'Вводные'!$B$8&gt;0,INDEX($B$8:$M$8,1,MAX(1,12-'Вводные'!$B$8)),0)</f>
        <v>3925607.84360345</v>
      </c>
      <c r="N43" s="2">
        <f>SUM(B43:M43)</f>
        <v>38315803.933689654</v>
      </c>
      <c r="O43" s="0" t="inlineStr">
        <is>
          <t xml:space="preserve">Денежный поток</t>
        </is>
      </c>
    </row>
    <row r="44" ht="25" customHeight="1">
      <c r="A44" s="5" t="inlineStr">
        <is>
          <t xml:space="preserve">Оплата себестоимости</t>
        </is>
      </c>
      <c r="B44" s="2">
        <f>IF(1-'Вводные'!$B$9&gt;0,INDEX($B$9:$M$9,1,MAX(1,1-'Вводные'!$B$9)),0)</f>
        <v>892500</v>
      </c>
      <c r="C44" s="2">
        <f>IF(2-'Вводные'!$B$9&gt;0,INDEX($B$9:$M$9,1,MAX(1,2-'Вводные'!$B$9)),0)</f>
        <v>928199.9999999999</v>
      </c>
      <c r="D44" s="2">
        <f>IF(3-'Вводные'!$B$9&gt;0,INDEX($B$9:$M$9,1,MAX(1,3-'Вводные'!$B$9)),0)</f>
        <v>965327.9999999999</v>
      </c>
      <c r="E44" s="2">
        <f>IF(4-'Вводные'!$B$9&gt;0,INDEX($B$9:$M$9,1,MAX(1,4-'Вводные'!$B$9)),0)</f>
        <v>1003941.12</v>
      </c>
      <c r="F44" s="2">
        <f>IF(5-'Вводные'!$B$9&gt;0,INDEX($B$9:$M$9,1,MAX(1,5-'Вводные'!$B$9)),0)</f>
        <v>1044098.7648</v>
      </c>
      <c r="G44" s="2">
        <f>IF(6-'Вводные'!$B$9&gt;0,INDEX($B$9:$M$9,1,MAX(1,6-'Вводные'!$B$9)),0)</f>
        <v>1085862.715392</v>
      </c>
      <c r="H44" s="2">
        <f>IF(7-'Вводные'!$B$9&gt;0,INDEX($B$9:$M$9,1,MAX(1,7-'Вводные'!$B$9)),0)</f>
        <v>1129297.22400768</v>
      </c>
      <c r="I44" s="2">
        <f>IF(8-'Вводные'!$B$9&gt;0,INDEX($B$9:$M$9,1,MAX(1,8-'Вводные'!$B$9)),0)</f>
        <v>1174469.1129679873</v>
      </c>
      <c r="J44" s="2">
        <f>IF(9-'Вводные'!$B$9&gt;0,INDEX($B$9:$M$9,1,MAX(1,9-'Вводные'!$B$9)),0)</f>
        <v>1221447.8774867067</v>
      </c>
      <c r="K44" s="2">
        <f>IF(10-'Вводные'!$B$9&gt;0,INDEX($B$9:$M$9,1,MAX(1,10-'Вводные'!$B$9)),0)</f>
        <v>1270305.792586175</v>
      </c>
      <c r="L44" s="2">
        <f>IF(11-'Вводные'!$B$9&gt;0,INDEX($B$9:$M$9,1,MAX(1,11-'Вводные'!$B$9)),0)</f>
        <v>1321118.0242896222</v>
      </c>
      <c r="M44" s="2">
        <f>IF(12-'Вводные'!$B$9&gt;0,INDEX($B$9:$M$9,1,MAX(1,12-'Вводные'!$B$9)),0)</f>
        <v>1373962.7452612075</v>
      </c>
      <c r="N44" s="2">
        <f>SUM(B44:M44)</f>
        <v>13410531.37679138</v>
      </c>
      <c r="O44" s="0" t="inlineStr">
        <is>
          <t xml:space="preserve">Денежный поток</t>
        </is>
      </c>
    </row>
    <row r="45" ht="25" customHeight="1">
      <c r="A45" s="5" t="inlineStr">
        <is>
          <t xml:space="preserve">Дебиторская задолженность</t>
        </is>
      </c>
      <c r="B45" s="2">
        <f>(0+(B8-B43))</f>
        <v>0</v>
      </c>
      <c r="C45" s="2">
        <f>(B45+(C8-C43))</f>
        <v>0</v>
      </c>
      <c r="D45" s="2">
        <f>(C45+(D8-D43))</f>
        <v>0</v>
      </c>
      <c r="E45" s="2">
        <f>(D45+(E8-E43))</f>
        <v>0</v>
      </c>
      <c r="F45" s="2">
        <f>(E45+(F8-F43))</f>
        <v>0</v>
      </c>
      <c r="G45" s="2">
        <f>(F45+(G8-G43))</f>
        <v>0</v>
      </c>
      <c r="H45" s="2">
        <f>(G45+(H8-H43))</f>
        <v>0</v>
      </c>
      <c r="I45" s="2">
        <f>(H45+(I8-I43))</f>
        <v>0</v>
      </c>
      <c r="J45" s="2">
        <f>(I45+(J8-J43))</f>
        <v>0</v>
      </c>
      <c r="K45" s="2">
        <f>(J45+(K8-K43))</f>
        <v>0</v>
      </c>
      <c r="L45" s="2">
        <f>(K45+(L8-L43))</f>
        <v>0</v>
      </c>
      <c r="M45" s="2">
        <f>(L45+(M8-M43))</f>
        <v>0</v>
      </c>
      <c r="N45" s="2">
        <f>M45</f>
        <v>0</v>
      </c>
      <c r="O45" s="0" t="inlineStr">
        <is>
          <t xml:space="preserve">Оборотный капитал</t>
        </is>
      </c>
    </row>
    <row r="46" ht="25" customHeight="1">
      <c r="A46" s="5" t="inlineStr">
        <is>
          <t xml:space="preserve">Кредиторская задолженность</t>
        </is>
      </c>
      <c r="B46" s="2">
        <f>(0+(B9-B44))</f>
        <v>0</v>
      </c>
      <c r="C46" s="2">
        <f>(B46+(C9-C44))</f>
        <v>0</v>
      </c>
      <c r="D46" s="2">
        <f>(C46+(D9-D44))</f>
        <v>0</v>
      </c>
      <c r="E46" s="2">
        <f>(D46+(E9-E44))</f>
        <v>0</v>
      </c>
      <c r="F46" s="2">
        <f>(E46+(F9-F44))</f>
        <v>0</v>
      </c>
      <c r="G46" s="2">
        <f>(F46+(G9-G44))</f>
        <v>0</v>
      </c>
      <c r="H46" s="2">
        <f>(G46+(H9-H44))</f>
        <v>0</v>
      </c>
      <c r="I46" s="2">
        <f>(H46+(I9-I44))</f>
        <v>0</v>
      </c>
      <c r="J46" s="2">
        <f>(I46+(J9-J44))</f>
        <v>0</v>
      </c>
      <c r="K46" s="2">
        <f>(J46+(K9-K44))</f>
        <v>0</v>
      </c>
      <c r="L46" s="2">
        <f>(K46+(L9-L44))</f>
        <v>0</v>
      </c>
      <c r="M46" s="2">
        <f>(L46+(M9-M44))</f>
        <v>0</v>
      </c>
      <c r="N46" s="2">
        <f>M46</f>
        <v>0</v>
      </c>
      <c r="O46" s="0" t="inlineStr">
        <is>
          <t xml:space="preserve">Оборотный капитал</t>
        </is>
      </c>
    </row>
    <row r="47" ht="55" customHeight="1">
      <c r="A47" s="5" t="inlineStr">
        <is>
          <t xml:space="preserve">Операционный денежный поток</t>
        </is>
      </c>
      <c r="B47" s="2">
        <f>((B43-B44)-((B30+B36)+B40))</f>
        <v>514583.33333333326</v>
      </c>
      <c r="C47" s="2">
        <f>((C43-C44)-((C30+C36)+C40))</f>
        <v>574253.3333333333</v>
      </c>
      <c r="D47" s="2">
        <f>((D43-D44)-((D30+D36)+D40))</f>
        <v>636310.1333333333</v>
      </c>
      <c r="E47" s="2">
        <f>((E43-E44)-((E30+E36)+E40))</f>
        <v>700849.2053333335</v>
      </c>
      <c r="F47" s="2">
        <f>((F43-F44)-((F30+F36)+F40))</f>
        <v>767969.8402133335</v>
      </c>
      <c r="G47" s="2">
        <f>((G43-G44)-((G30+G36)+G40))</f>
        <v>837775.3004885335</v>
      </c>
      <c r="H47" s="2">
        <f>((H43-H44)-((H30+H36)+H40))</f>
        <v>910372.979174742</v>
      </c>
      <c r="I47" s="2">
        <f>((I43-I44)-((I30+I36)+I40))</f>
        <v>985874.5650083979</v>
      </c>
      <c r="J47" s="2">
        <f>((J43-J44)-((J30+J36)+J40))</f>
        <v>1064396.2142754006</v>
      </c>
      <c r="K47" s="2">
        <f>((K43-K44)-((K30+K36)+K40))</f>
        <v>1146058.7295130836</v>
      </c>
      <c r="L47" s="2">
        <f>((L43-L44)-((L30+L36)+L40))</f>
        <v>1230987.7453602739</v>
      </c>
      <c r="M47" s="2">
        <f>((M43-M44)-((M30+M36)+M40))</f>
        <v>1319313.9218413518</v>
      </c>
      <c r="N47" s="2">
        <f>SUM(B47:M47)</f>
        <v>10688745.30120845</v>
      </c>
      <c r="O47" s="0" t="inlineStr">
        <is>
          <t xml:space="preserve">Оплата клиентов − оплаченная себестоимость − операционные расходы − проценты − налог. Без амортизации.</t>
        </is>
      </c>
    </row>
    <row r="48" ht="55" customHeight="1">
      <c r="A48" s="5" t="inlineStr">
        <is>
          <t xml:space="preserve">Изменение денег за месяц</t>
        </is>
      </c>
      <c r="B48" s="2">
        <f>((B47-B32)-B37)</f>
        <v>514583.33333333326</v>
      </c>
      <c r="C48" s="2">
        <f>((C47-C32)-C37)</f>
        <v>574253.3333333333</v>
      </c>
      <c r="D48" s="2">
        <f>((D47-D32)-D37)</f>
        <v>636310.1333333333</v>
      </c>
      <c r="E48" s="2">
        <f>((E47-E32)-E37)</f>
        <v>700849.2053333335</v>
      </c>
      <c r="F48" s="2">
        <f>((F47-F32)-F37)</f>
        <v>767969.8402133335</v>
      </c>
      <c r="G48" s="2">
        <f>((G47-G32)-G37)</f>
        <v>837775.3004885335</v>
      </c>
      <c r="H48" s="2">
        <f>((H47-H32)-H37)</f>
        <v>910372.979174742</v>
      </c>
      <c r="I48" s="2">
        <f>((I47-I32)-I37)</f>
        <v>985874.5650083979</v>
      </c>
      <c r="J48" s="2">
        <f>((J47-J32)-J37)</f>
        <v>1064396.2142754006</v>
      </c>
      <c r="K48" s="2">
        <f>((K47-K32)-K37)</f>
        <v>1146058.7295130836</v>
      </c>
      <c r="L48" s="2">
        <f>((L47-L32)-L37)</f>
        <v>1230987.7453602739</v>
      </c>
      <c r="M48" s="2">
        <f>((M47-M32)-M37)</f>
        <v>1319313.9218413518</v>
      </c>
      <c r="N48" s="2">
        <f>SUM(B48:M48)</f>
        <v>10688745.30120845</v>
      </c>
      <c r="O48" s="0" t="inlineStr">
        <is>
          <t xml:space="preserve">Операционный поток − покупка активов − тело кредита.</t>
        </is>
      </c>
    </row>
    <row r="49" ht="55" customHeight="1">
      <c r="A49" s="5" t="inlineStr">
        <is>
          <t xml:space="preserve">Деньги на конец месяца</t>
        </is>
      </c>
      <c r="B49" s="2">
        <f>(((('Вводные'!$B$10+'Вводные'!$B$11)+'Вводные'!$B$14)-'Вводные'!$B$12)+B48)</f>
        <v>514583.33333333326</v>
      </c>
      <c r="C49" s="2">
        <f>(B49+C48)</f>
        <v>1088836.6666666665</v>
      </c>
      <c r="D49" s="2">
        <f>(C49+D48)</f>
        <v>1725146.7999999998</v>
      </c>
      <c r="E49" s="2">
        <f>(D49+E48)</f>
        <v>2425996.0053333333</v>
      </c>
      <c r="F49" s="2">
        <f>(E49+F48)</f>
        <v>3193965.8455466665</v>
      </c>
      <c r="G49" s="2">
        <f>(F49+G48)</f>
        <v>4031741.1460352</v>
      </c>
      <c r="H49" s="2">
        <f>(G49+H48)</f>
        <v>4942114.125209942</v>
      </c>
      <c r="I49" s="2">
        <f>(H49+I48)</f>
        <v>5927988.690218341</v>
      </c>
      <c r="J49" s="2">
        <f>(I49+J48)</f>
        <v>6992384.904493742</v>
      </c>
      <c r="K49" s="2">
        <f>(J49+K48)</f>
        <v>8138443.634006825</v>
      </c>
      <c r="L49" s="2">
        <f>(K49+L48)</f>
        <v>9369431.379367098</v>
      </c>
      <c r="M49" s="2">
        <f>(L49+M48)</f>
        <v>10688745.30120845</v>
      </c>
      <c r="N49" s="2">
        <f>M49</f>
        <v>10688745.30120845</v>
      </c>
      <c r="O49" s="0" t="inlineStr">
        <is>
          <t xml:space="preserve">Старт = деньги на начало + взнос собственника + кредит − начальные вложения. Затем прибавляется изменение денег.</t>
        </is>
      </c>
    </row>
    <row r="50" ht="55" customHeight="1">
      <c r="A50" s="5" t="inlineStr">
        <is>
          <t xml:space="preserve">Покрытие вложений, накопленно</t>
        </is>
      </c>
      <c r="B50" s="2">
        <f>((-1*'Вводные'!$B$12)+(B47-B32))</f>
        <v>-2485416.666666667</v>
      </c>
      <c r="C50" s="2">
        <f>(B50+(C47-C32))</f>
        <v>-1911163.3333333337</v>
      </c>
      <c r="D50" s="2">
        <f>(C50+(D47-D32))</f>
        <v>-1274853.2000000004</v>
      </c>
      <c r="E50" s="2">
        <f>(D50+(E47-E32))</f>
        <v>-574003.994666667</v>
      </c>
      <c r="F50" s="2">
        <f>(E50+(F47-F32))</f>
        <v>193965.84554666653</v>
      </c>
      <c r="G50" s="2">
        <f>(F50+(G47-G32))</f>
        <v>1031741.1460352</v>
      </c>
      <c r="H50" s="2">
        <f>(G50+(H47-H32))</f>
        <v>1942114.125209942</v>
      </c>
      <c r="I50" s="2">
        <f>(H50+(I47-I32))</f>
        <v>2927988.6902183397</v>
      </c>
      <c r="J50" s="2">
        <f>(I50+(J47-J32))</f>
        <v>3992384.9044937403</v>
      </c>
      <c r="K50" s="2">
        <f>(J50+(K47-K32))</f>
        <v>5138443.634006824</v>
      </c>
      <c r="L50" s="2">
        <f>(K50+(L47-L32))</f>
        <v>6369431.379367098</v>
      </c>
      <c r="M50" s="2">
        <f>(L50+(M47-M32))</f>
        <v>7688745.3012084495</v>
      </c>
      <c r="N50" s="2">
        <f>M50</f>
        <v>7688745.3012084495</v>
      </c>
      <c r="O50" s="0" t="inlineStr">
        <is>
          <t xml:space="preserve">Накопленный операционный поток − вложения. Без взносов, выдачи и тела кредита; после процентов. Поздние покупки могут снова уменьшить показатель.</t>
        </is>
      </c>
    </row>
    <row r="51" ht="25" customHeight="1">
      <c r="A51" s="5" t="inlineStr">
        <is>
          <t xml:space="preserve">Маржа чистой прибыли</t>
        </is>
      </c>
      <c r="B51" s="3">
        <f>IF(B8&gt;0,B41/B8,"")</f>
        <v>0.16911764705882354</v>
      </c>
      <c r="C51" s="3">
        <f>IF(C8&gt;0,C41/C8,"")</f>
        <v>0.18511312217194567</v>
      </c>
      <c r="D51" s="3">
        <f>IF(D8&gt;0,D41/D8,"")</f>
        <v>0.2004933867037939</v>
      </c>
      <c r="E51" s="3">
        <f>IF(E8&gt;0,E41/E8,"")</f>
        <v>0.21528210259980185</v>
      </c>
      <c r="F51" s="3">
        <f>IF(F8&gt;0,F41/F8,"")</f>
        <v>0.22950202173057874</v>
      </c>
      <c r="G51" s="3">
        <f>IF(G8&gt;0,G41/G8,"")</f>
        <v>0.2431750208947872</v>
      </c>
      <c r="H51" s="3">
        <f>IF(H8&gt;0,H41/H8,"")</f>
        <v>0.25632213547575705</v>
      </c>
      <c r="I51" s="3">
        <f>IF(I8&gt;0,I41/I8,"")</f>
        <v>0.2689635918036125</v>
      </c>
      <c r="J51" s="3">
        <f>IF(J8&gt;0,J41/J8,"")</f>
        <v>0.2811188382727044</v>
      </c>
      <c r="K51" s="3">
        <f>IF(K8&gt;0,K41/K8,"")</f>
        <v>0.2928065752622159</v>
      </c>
      <c r="L51" s="3">
        <f>IF(L8&gt;0,L41/L8,"")</f>
        <v>0.30404478390597683</v>
      </c>
      <c r="M51" s="3">
        <f>IF(M8&gt;0,M41/M8,"")</f>
        <v>0.31485075375574695</v>
      </c>
      <c r="N51" s="3">
        <f>IF(N8&gt;0,N41/N8,"")</f>
        <v>0.2528655099597035</v>
      </c>
    </row>
    <row r="52" ht="25" customHeight="1">
      <c r="A52" s="5" t="inlineStr">
        <is>
          <t xml:space="preserve">CAC: стоимость клиента</t>
        </is>
      </c>
      <c r="B52" s="2">
        <f>IF(B25&gt;0,B23/B25,"")</f>
        <v>7500</v>
      </c>
      <c r="C52" s="2">
        <f>IF(C25&gt;0,C23/C25,"")</f>
        <v>7500</v>
      </c>
      <c r="D52" s="2">
        <f>IF(D25&gt;0,D23/D25,"")</f>
        <v>7500</v>
      </c>
      <c r="E52" s="2">
        <f>IF(E25&gt;0,E23/E25,"")</f>
        <v>7500</v>
      </c>
      <c r="F52" s="2">
        <f>IF(F25&gt;0,F23/F25,"")</f>
        <v>7500</v>
      </c>
      <c r="G52" s="2">
        <f>IF(G25&gt;0,G23/G25,"")</f>
        <v>7500</v>
      </c>
      <c r="H52" s="2">
        <f>IF(H25&gt;0,H23/H25,"")</f>
        <v>7500</v>
      </c>
      <c r="I52" s="2">
        <f>IF(I25&gt;0,I23/I25,"")</f>
        <v>7500</v>
      </c>
      <c r="J52" s="2">
        <f>IF(J25&gt;0,J23/J25,"")</f>
        <v>7500</v>
      </c>
      <c r="K52" s="2">
        <f>IF(K25&gt;0,K23/K25,"")</f>
        <v>7500</v>
      </c>
      <c r="L52" s="2">
        <f>IF(L25&gt;0,L23/L25,"")</f>
        <v>7500</v>
      </c>
      <c r="M52" s="2">
        <f>IF(M25&gt;0,M23/M25,"")</f>
        <v>7500</v>
      </c>
      <c r="N52" s="2">
        <f>IF(N25&gt;0,N23/N25,"")</f>
        <v>7500</v>
      </c>
    </row>
    <row r="53" ht="25" customHeight="1">
      <c r="A53" s="5" t="inlineStr">
        <is>
          <t xml:space="preserve">CPL: стоимость заявки</t>
        </is>
      </c>
      <c r="B53" s="2">
        <f>IF(B24&gt;0,B23/B24,"")</f>
        <v>1500</v>
      </c>
      <c r="C53" s="2">
        <f>IF(C24&gt;0,C23/C24,"")</f>
        <v>1500</v>
      </c>
      <c r="D53" s="2">
        <f>IF(D24&gt;0,D23/D24,"")</f>
        <v>1500</v>
      </c>
      <c r="E53" s="2">
        <f>IF(E24&gt;0,E23/E24,"")</f>
        <v>1500</v>
      </c>
      <c r="F53" s="2">
        <f>IF(F24&gt;0,F23/F24,"")</f>
        <v>1500</v>
      </c>
      <c r="G53" s="2">
        <f>IF(G24&gt;0,G23/G24,"")</f>
        <v>1500</v>
      </c>
      <c r="H53" s="2">
        <f>IF(H24&gt;0,H23/H24,"")</f>
        <v>1500</v>
      </c>
      <c r="I53" s="2">
        <f>IF(I24&gt;0,I23/I24,"")</f>
        <v>1500</v>
      </c>
      <c r="J53" s="2">
        <f>IF(J24&gt;0,J23/J24,"")</f>
        <v>1500</v>
      </c>
      <c r="K53" s="2">
        <f>IF(K24&gt;0,K23/K24,"")</f>
        <v>1500</v>
      </c>
      <c r="L53" s="2">
        <f>IF(L24&gt;0,L23/L24,"")</f>
        <v>1500</v>
      </c>
      <c r="M53" s="2">
        <f>IF(M24&gt;0,M23/M24,"")</f>
        <v>1500</v>
      </c>
      <c r="N53" s="2">
        <f>IF(N24&gt;0,N23/N24,"")</f>
        <v>1500</v>
      </c>
    </row>
    <row r="54" ht="25" customHeight="1">
      <c r="A54" s="5" t="inlineStr">
        <is>
          <t xml:space="preserve">ROAS: рекламная выручка / бюджет</t>
        </is>
      </c>
      <c r="B54" s="4">
        <f>IF(B23&gt;0,B26/B23,"")</f>
        <v>1.1333333333333333</v>
      </c>
      <c r="C54" s="4">
        <f>IF(C23&gt;0,C26/C23,"")</f>
        <v>1.1333333333333333</v>
      </c>
      <c r="D54" s="4">
        <f>IF(D23&gt;0,D26/D23,"")</f>
        <v>1.1333333333333333</v>
      </c>
      <c r="E54" s="4">
        <f>IF(E23&gt;0,E26/E23,"")</f>
        <v>1.1333333333333333</v>
      </c>
      <c r="F54" s="4">
        <f>IF(F23&gt;0,F26/F23,"")</f>
        <v>1.1333333333333333</v>
      </c>
      <c r="G54" s="4">
        <f>IF(G23&gt;0,G26/G23,"")</f>
        <v>1.1333333333333333</v>
      </c>
      <c r="H54" s="4">
        <f>IF(H23&gt;0,H26/H23,"")</f>
        <v>1.1333333333333333</v>
      </c>
      <c r="I54" s="4">
        <f>IF(I23&gt;0,I26/I23,"")</f>
        <v>1.1333333333333333</v>
      </c>
      <c r="J54" s="4">
        <f>IF(J23&gt;0,J26/J23,"")</f>
        <v>1.1333333333333333</v>
      </c>
      <c r="K54" s="4">
        <f>IF(K23&gt;0,K26/K23,"")</f>
        <v>1.1333333333333333</v>
      </c>
      <c r="L54" s="4">
        <f>IF(L23&gt;0,L26/L23,"")</f>
        <v>1.1333333333333333</v>
      </c>
      <c r="M54" s="4">
        <f>IF(M23&gt;0,M26/M23,"")</f>
        <v>1.1333333333333333</v>
      </c>
      <c r="N54" s="4">
        <f>IF(N23&gt;0,N26/N23,"")</f>
        <v>1.1333333333333333</v>
      </c>
    </row>
    <row r="55" ht="25" customHeight="1">
      <c r="A55" s="5" t="inlineStr">
        <is>
          <t xml:space="preserve">Стартовый остаток</t>
        </is>
      </c>
      <c r="N55" s="2">
        <f>('Вводные'!B10+'Вводные'!B11+'Вводные'!B14-'Вводные'!B12)</f>
        <v>0</v>
      </c>
    </row>
    <row r="56" ht="55" customHeight="1">
      <c r="A56" s="5" t="inlineStr">
        <is>
          <t xml:space="preserve">Дополнительное финансирование</t>
        </is>
      </c>
      <c r="N56" s="2">
        <f>MAX(0,-MIN(('Вводные'!B10+'Вводные'!B11+'Вводные'!B14-'Вводные'!B12),B49:M49))</f>
        <v>0</v>
      </c>
      <c r="O56" s="0" t="inlineStr">
        <is>
          <t xml:space="preserve">По минимуму остатка на старте и концах месяцев; внутримесячные разрывы не оцениваются.</t>
        </is>
      </c>
    </row>
    <row r="57" ht="55" customHeight="1">
      <c r="A57" s="5" t="inlineStr">
        <is>
          <t xml:space="preserve">Безубыточная выручка М1</t>
        </is>
      </c>
      <c r="N57" s="2">
        <f>IF((1-IF('Вводные'!B4="manual",'Вводные'!B5/100,IF(B8&gt;0,B9/B8,1))-(IF(AND('Вводные'!B64="percent",'Вводные'!B67=1),'Вводные'!B65/100,0)+IF(AND('Вводные'!B70="percent",'Вводные'!B73=1),'Вводные'!B71/100,0)+IF('Вводные'!B61=1,'Вводные'!B55/100,0)+0)-IF('Вводные'!B6="revenue",'Вводные'!B7/100,0))&gt;0,(B30-B8*(IF(AND('Вводные'!B64="percent",'Вводные'!B67=1),'Вводные'!B65/100,0)+IF(AND('Вводные'!B70="percent",'Вводные'!B73=1),'Вводные'!B71/100,0)+IF('Вводные'!B61=1,'Вводные'!B55/100,0)+0)+B33+B36)/(1-IF('Вводные'!B4="manual",'Вводные'!B5/100,IF(B8&gt;0,B9/B8,1))-(IF(AND('Вводные'!B64="percent",'Вводные'!B67=1),'Вводные'!B65/100,0)+IF(AND('Вводные'!B70="percent",'Вводные'!B73=1),'Вводные'!B71/100,0)+IF('Вводные'!B61=1,'Вводные'!B55/100,0)+0)-IF('Вводные'!B6="revenue",'Вводные'!B7/100,0)),"")</f>
        <v>1812820.5128205128</v>
      </c>
      <c r="O57" s="0" t="inlineStr">
        <is>
          <t xml:space="preserve">При структуре затрат и продаж первого месяца, включая амортизацию и проценты.</t>
        </is>
      </c>
    </row>
    <row r="58" ht="25" customHeight="1">
      <c r="A58" s="5" t="inlineStr">
        <is>
          <t xml:space="preserve">Первое покрытие вложений, месяц</t>
        </is>
      </c>
      <c r="N58" s="0">
        <f>IF(('Вводные'!B12)=0,0,IF(B50&gt;=0,1,IF(C50&gt;=0,2,IF(D50&gt;=0,3,IF(E50&gt;=0,4,IF(F50&gt;=0,5,IF(G50&gt;=0,6,IF(H50&gt;=0,7,IF(I50&gt;=0,8,IF(J50&gt;=0,9,IF(K50&gt;=0,10,IF(L50&gt;=0,11,IF(M50&gt;=0,12,"Не достигнуто")))))))))))))</f>
        <v>5</v>
      </c>
    </row>
    <row r="59" ht="30" customHeight="1">
      <c r="A59" s="0" t="inlineStr">
        <is>
          <t xml:space="preserve">Источник: введённые пользователем допущения. Начальные данные — пример, не рыночный прогноз.</t>
        </is>
      </c>
    </row>
    <row r="60" ht="30" customHeight="1">
      <c r="A60" s="0" t="inlineStr">
        <is>
          <t xml:space="preserve">Выручка и затраты без НДС. Налоги и начисления вводятся пользователем. Без льгот и переноса убытков.</t>
        </is>
      </c>
    </row>
    <row r="61" ht="30" customHeight="1">
      <c r="A61" s="0" t="inlineStr">
        <is>
          <t xml:space="preserve">Кредит и взнос до М1. Аннуитет с М1, без комиссий и досрочных погашений.</t>
        </is>
      </c>
    </row>
    <row r="62" ht="30" customHeight="1">
      <c r="A62" s="0" t="inlineStr">
        <is>
          <t xml:space="preserve">Задержки оплаты: целые месяцы. Начальные дебиторская и кредиторская задолженности — 0.</t>
        </is>
      </c>
    </row>
    <row r="63" ht="30" customHeight="1">
      <c r="A63" s="0" t="inlineStr">
        <is>
          <t xml:space="preserve">Оценка рекламной выручки не добавляется к обороту. Укажите эти продажи в плане выручки.</t>
        </is>
      </c>
    </row>
    <row r="64" ht="30" customHeight="1">
      <c r="A64" s="0" t="inlineStr">
        <is>
          <t xml:space="preserve">Редактируйте значения на листе «Вводные». Формулы на листе «Модель» пересчитаются в Excel.</t>
        </is>
      </c>
    </row>
  </sheetData>
  <mergeCells count="8">
    <mergeCell ref="A1:O1"/>
    <mergeCell ref="A2:O2"/>
    <mergeCell ref="A59:O59"/>
    <mergeCell ref="A60:O60"/>
    <mergeCell ref="A61:O61"/>
    <mergeCell ref="A62:O62"/>
    <mergeCell ref="A63:O63"/>
    <mergeCell ref="A64:O64"/>
  </mergeCells>
</worksheet>
</file>

<file path=xl/worksheets/sheet2.xml><?xml version="1.0" encoding="utf-8"?>
<worksheet xmlns="http://schemas.openxmlformats.org/spreadsheetml/2006/main">
  <sheetViews>
    <sheetView workbookViewId="0" showGridLines="0">
      <pane xSplit="1" ySplit="3" topLeftCell="B4" activePane="bottomRight" state="frozen"/>
    </sheetView>
  </sheetViews>
  <cols>
    <col min="1" max="1" width="75" customWidth="1"/>
    <col min="2" max="2" width="26" customWidth="1"/>
    <col min="3" max="3" width="78" customWidth="1"/>
  </cols>
  <sheetData>
    <row r="1" ht="32" customHeight="1">
      <c r="A1" s="1" t="inlineStr">
        <is>
          <t xml:space="preserve">ВВОДНЫЕ / Изменённая</t>
        </is>
      </c>
    </row>
    <row r="2" ht="25" customHeight="1">
      <c r="A2" s="0" t="inlineStr">
        <is>
          <t xml:space="preserve">Редактируйте колонку B. Суммы в KZT. Проценты задаются числом: 10 = 10%.</t>
        </is>
      </c>
    </row>
    <row r="3" ht="25" customHeight="1">
      <c r="A3" s="1" t="inlineStr">
        <is>
          <t xml:space="preserve">Параметр</t>
        </is>
      </c>
      <c r="B3" s="1" t="inlineStr">
        <is>
          <t xml:space="preserve">Значение</t>
        </is>
      </c>
      <c r="C3" s="1" t="inlineStr">
        <is>
          <t xml:space="preserve">Пояснение</t>
        </is>
      </c>
    </row>
    <row r="4" ht="42" customHeight="1">
      <c r="A4" s="0" t="inlineStr">
        <is>
          <t xml:space="preserve">Способ ввода выручки</t>
        </is>
      </c>
      <c r="B4" s="6" t="inlineStr">
        <is>
          <t xml:space="preserve">items</t>
        </is>
      </c>
      <c r="C4" s="0" t="inlineStr">
        <is>
          <t xml:space="preserve">items — товары; manual — ручной оборот</t>
        </is>
      </c>
    </row>
    <row r="5" ht="42" customHeight="1">
      <c r="A5" s="0" t="inlineStr">
        <is>
          <t xml:space="preserve">Себестоимость ручного оборота, %</t>
        </is>
      </c>
      <c r="B5" s="6">
        <v>35</v>
      </c>
      <c r="C5" s="0" t="inlineStr">
        <is>
          <t xml:space="preserve"/>
        </is>
      </c>
    </row>
    <row r="6" ht="42" customHeight="1">
      <c r="A6" s="0" t="inlineStr">
        <is>
          <t xml:space="preserve">База условного налога</t>
        </is>
      </c>
      <c r="B6" s="6" t="inlineStr">
        <is>
          <t xml:space="preserve">profit</t>
        </is>
      </c>
      <c r="C6" s="0" t="inlineStr">
        <is>
          <t xml:space="preserve">profit — прибыль; revenue — оборот; none — без налога</t>
        </is>
      </c>
    </row>
    <row r="7" ht="42" customHeight="1">
      <c r="A7" s="0" t="inlineStr">
        <is>
          <t xml:space="preserve">Ставка налога, %</t>
        </is>
      </c>
      <c r="B7" s="6">
        <v>10</v>
      </c>
      <c r="C7" s="0" t="inlineStr">
        <is>
          <t xml:space="preserve"/>
        </is>
      </c>
    </row>
    <row r="8" ht="42" customHeight="1">
      <c r="A8" s="0" t="inlineStr">
        <is>
          <t xml:space="preserve">Оплата клиентов через, мес.</t>
        </is>
      </c>
      <c r="B8" s="6">
        <v>0</v>
      </c>
      <c r="C8" s="0" t="inlineStr">
        <is>
          <t xml:space="preserve">Целые месяцы от 0 до 12</t>
        </is>
      </c>
    </row>
    <row r="9" ht="42" customHeight="1">
      <c r="A9" s="0" t="inlineStr">
        <is>
          <t xml:space="preserve">Оплата себестоимости через, мес.</t>
        </is>
      </c>
      <c r="B9" s="6">
        <v>0</v>
      </c>
      <c r="C9" s="0" t="inlineStr">
        <is>
          <t xml:space="preserve">Целые месяцы от 0 до 12</t>
        </is>
      </c>
    </row>
    <row r="10" ht="42" customHeight="1">
      <c r="A10" s="0" t="inlineStr">
        <is>
          <t xml:space="preserve">Деньги на начало</t>
        </is>
      </c>
      <c r="B10" s="6">
        <v>0</v>
      </c>
      <c r="C10" s="0" t="inlineStr">
        <is>
          <t xml:space="preserve"/>
        </is>
      </c>
    </row>
    <row r="11" ht="42" customHeight="1">
      <c r="A11" s="0" t="inlineStr">
        <is>
          <t xml:space="preserve">Взнос собственника до М1</t>
        </is>
      </c>
      <c r="B11" s="6">
        <v>3000000</v>
      </c>
      <c r="C11" s="0" t="inlineStr">
        <is>
          <t xml:space="preserve"/>
        </is>
      </c>
    </row>
    <row r="12" ht="42" customHeight="1">
      <c r="A12" s="0" t="inlineStr">
        <is>
          <t xml:space="preserve">Вложения до М1</t>
        </is>
      </c>
      <c r="B12" s="6">
        <v>3000000</v>
      </c>
      <c r="C12" s="0" t="inlineStr">
        <is>
          <t xml:space="preserve"/>
        </is>
      </c>
    </row>
    <row r="13" ht="42" customHeight="1">
      <c r="A13" s="0" t="inlineStr">
        <is>
          <t xml:space="preserve">Амортизация начальных вложений, мес. (0 — нет)</t>
        </is>
      </c>
      <c r="B13" s="6">
        <v>36</v>
      </c>
      <c r="C13" s="0" t="inlineStr">
        <is>
          <t xml:space="preserve">0 отключает амортизацию начальных вложений</t>
        </is>
      </c>
    </row>
    <row r="14" ht="42" customHeight="1">
      <c r="A14" s="0" t="inlineStr">
        <is>
          <t xml:space="preserve">Кредит до М1</t>
        </is>
      </c>
      <c r="B14" s="6">
        <v>0</v>
      </c>
      <c r="C14" s="0" t="inlineStr">
        <is>
          <t xml:space="preserve"/>
        </is>
      </c>
    </row>
    <row r="15" ht="42" customHeight="1">
      <c r="A15" s="0" t="inlineStr">
        <is>
          <t xml:space="preserve">Годовая ставка кредита, %</t>
        </is>
      </c>
      <c r="B15" s="6">
        <v>18</v>
      </c>
      <c r="C15" s="0" t="inlineStr">
        <is>
          <t xml:space="preserve"/>
        </is>
      </c>
    </row>
    <row r="16" ht="42" customHeight="1">
      <c r="A16" s="0" t="inlineStr">
        <is>
          <t xml:space="preserve">Срок кредита, мес.</t>
        </is>
      </c>
      <c r="B16" s="6">
        <v>24</v>
      </c>
      <c r="C16" s="0" t="inlineStr">
        <is>
          <t xml:space="preserve"/>
        </is>
      </c>
    </row>
    <row r="17" ht="42" customHeight="1">
      <c r="A17" s="0" t="inlineStr">
        <is>
          <t xml:space="preserve">Множитель сценария</t>
        </is>
      </c>
      <c r="B17" s="6">
        <v>1</v>
      </c>
      <c r="C17" s="0" t="inlineStr">
        <is>
          <t xml:space="preserve">База: 1; осторожный: 0.8; оптимистичный: 1.2</t>
        </is>
      </c>
    </row>
    <row r="18" ht="42" customHeight="1">
      <c r="A18" s="0" t="inlineStr">
        <is>
          <t xml:space="preserve">Ручной оборот · М1</t>
        </is>
      </c>
      <c r="B18" s="6">
        <v>2550000</v>
      </c>
      <c r="C18" s="0" t="inlineStr">
        <is>
          <t xml:space="preserve"/>
        </is>
      </c>
    </row>
    <row r="19" ht="42" customHeight="1">
      <c r="A19" s="0" t="inlineStr">
        <is>
          <t xml:space="preserve">Ручной оборот · М2</t>
        </is>
      </c>
      <c r="B19" s="6">
        <v>2550000</v>
      </c>
      <c r="C19" s="0" t="inlineStr">
        <is>
          <t xml:space="preserve"/>
        </is>
      </c>
    </row>
    <row r="20" ht="42" customHeight="1">
      <c r="A20" s="0" t="inlineStr">
        <is>
          <t xml:space="preserve">Ручной оборот · М3</t>
        </is>
      </c>
      <c r="B20" s="6">
        <v>2550000</v>
      </c>
      <c r="C20" s="0" t="inlineStr">
        <is>
          <t xml:space="preserve"/>
        </is>
      </c>
    </row>
    <row r="21" ht="42" customHeight="1">
      <c r="A21" s="0" t="inlineStr">
        <is>
          <t xml:space="preserve">Ручной оборот · М4</t>
        </is>
      </c>
      <c r="B21" s="6">
        <v>2550000</v>
      </c>
      <c r="C21" s="0" t="inlineStr">
        <is>
          <t xml:space="preserve"/>
        </is>
      </c>
    </row>
    <row r="22" ht="42" customHeight="1">
      <c r="A22" s="0" t="inlineStr">
        <is>
          <t xml:space="preserve">Ручной оборот · М5</t>
        </is>
      </c>
      <c r="B22" s="6">
        <v>2550000</v>
      </c>
      <c r="C22" s="0" t="inlineStr">
        <is>
          <t xml:space="preserve"/>
        </is>
      </c>
    </row>
    <row r="23" ht="42" customHeight="1">
      <c r="A23" s="0" t="inlineStr">
        <is>
          <t xml:space="preserve">Ручной оборот · М6</t>
        </is>
      </c>
      <c r="B23" s="6">
        <v>2550000</v>
      </c>
      <c r="C23" s="0" t="inlineStr">
        <is>
          <t xml:space="preserve"/>
        </is>
      </c>
    </row>
    <row r="24" ht="42" customHeight="1">
      <c r="A24" s="0" t="inlineStr">
        <is>
          <t xml:space="preserve">Ручной оборот · М7</t>
        </is>
      </c>
      <c r="B24" s="6">
        <v>2550000</v>
      </c>
      <c r="C24" s="0" t="inlineStr">
        <is>
          <t xml:space="preserve"/>
        </is>
      </c>
    </row>
    <row r="25" ht="42" customHeight="1">
      <c r="A25" s="0" t="inlineStr">
        <is>
          <t xml:space="preserve">Ручной оборот · М8</t>
        </is>
      </c>
      <c r="B25" s="6">
        <v>2550000</v>
      </c>
      <c r="C25" s="0" t="inlineStr">
        <is>
          <t xml:space="preserve"/>
        </is>
      </c>
    </row>
    <row r="26" ht="42" customHeight="1">
      <c r="A26" s="0" t="inlineStr">
        <is>
          <t xml:space="preserve">Ручной оборот · М9</t>
        </is>
      </c>
      <c r="B26" s="6">
        <v>2550000</v>
      </c>
      <c r="C26" s="0" t="inlineStr">
        <is>
          <t xml:space="preserve"/>
        </is>
      </c>
    </row>
    <row r="27" ht="42" customHeight="1">
      <c r="A27" s="0" t="inlineStr">
        <is>
          <t xml:space="preserve">Ручной оборот · М10</t>
        </is>
      </c>
      <c r="B27" s="6">
        <v>2550000</v>
      </c>
      <c r="C27" s="0" t="inlineStr">
        <is>
          <t xml:space="preserve"/>
        </is>
      </c>
    </row>
    <row r="28" ht="42" customHeight="1">
      <c r="A28" s="0" t="inlineStr">
        <is>
          <t xml:space="preserve">Ручной оборот · М11</t>
        </is>
      </c>
      <c r="B28" s="6">
        <v>2550000</v>
      </c>
      <c r="C28" s="0" t="inlineStr">
        <is>
          <t xml:space="preserve"/>
        </is>
      </c>
    </row>
    <row r="29" ht="42" customHeight="1">
      <c r="A29" s="0" t="inlineStr">
        <is>
          <t xml:space="preserve">Ручной оборот · М12</t>
        </is>
      </c>
      <c r="B29" s="6">
        <v>2550000</v>
      </c>
      <c r="C29" s="0" t="inlineStr">
        <is>
          <t xml:space="preserve"/>
        </is>
      </c>
    </row>
    <row r="30" ht="42" customHeight="1">
      <c r="A30" s="0" t="inlineStr">
        <is>
          <t xml:space="preserve">Основной продукт · Название</t>
        </is>
      </c>
      <c r="B30" s="6" t="inlineStr">
        <is>
          <t xml:space="preserve">Основной продукт</t>
        </is>
      </c>
      <c r="C30" s="0" t="inlineStr">
        <is>
          <t xml:space="preserve"/>
        </is>
      </c>
    </row>
    <row r="31" ht="42" customHeight="1">
      <c r="A31" s="0" t="inlineStr">
        <is>
          <t xml:space="preserve">Основной продукт · Количество в первый активный месяц</t>
        </is>
      </c>
      <c r="B31" s="6">
        <v>300</v>
      </c>
      <c r="C31" s="0" t="inlineStr">
        <is>
          <t xml:space="preserve"/>
        </is>
      </c>
    </row>
    <row r="32" ht="42" customHeight="1">
      <c r="A32" s="0" t="inlineStr">
        <is>
          <t xml:space="preserve">Основной продукт · Цена</t>
        </is>
      </c>
      <c r="B32" s="6">
        <v>8500</v>
      </c>
      <c r="C32" s="0" t="inlineStr">
        <is>
          <t xml:space="preserve"/>
        </is>
      </c>
    </row>
    <row r="33" ht="42" customHeight="1">
      <c r="A33" s="0" t="inlineStr">
        <is>
          <t xml:space="preserve">Основной продукт · Рост в месяц, %</t>
        </is>
      </c>
      <c r="B33" s="6">
        <v>4</v>
      </c>
      <c r="C33" s="0" t="inlineStr">
        <is>
          <t xml:space="preserve"/>
        </is>
      </c>
    </row>
    <row r="34" ht="42" customHeight="1">
      <c r="A34" s="0" t="inlineStr">
        <is>
          <t xml:space="preserve">Основной продукт · Себестоимость, % выручки</t>
        </is>
      </c>
      <c r="B34" s="6">
        <v>35</v>
      </c>
      <c r="C34" s="0" t="inlineStr">
        <is>
          <t xml:space="preserve"/>
        </is>
      </c>
    </row>
    <row r="35" ht="42" customHeight="1">
      <c r="A35" s="0" t="inlineStr">
        <is>
          <t xml:space="preserve">Основной продукт · С месяца</t>
        </is>
      </c>
      <c r="B35" s="6">
        <v>1</v>
      </c>
      <c r="C35" s="0" t="inlineStr">
        <is>
          <t xml:space="preserve">Номер периода: 1 — М1, …, 12 — М12</t>
        </is>
      </c>
    </row>
    <row r="36" ht="42" customHeight="1">
      <c r="A36" s="0" t="inlineStr">
        <is>
          <t xml:space="preserve">Основной продукт · По месяц</t>
        </is>
      </c>
      <c r="B36" s="6">
        <v>12</v>
      </c>
      <c r="C36" s="0" t="inlineStr">
        <is>
          <t xml:space="preserve">Номер периода: 1 — М1, …, 12 — М12</t>
        </is>
      </c>
    </row>
    <row r="37" ht="42" customHeight="1">
      <c r="A37" s="0" t="inlineStr">
        <is>
          <t xml:space="preserve">Менеджер · Название</t>
        </is>
      </c>
      <c r="B37" s="6" t="inlineStr">
        <is>
          <t xml:space="preserve">Менеджер</t>
        </is>
      </c>
      <c r="C37" s="0" t="inlineStr">
        <is>
          <t xml:space="preserve"/>
        </is>
      </c>
    </row>
    <row r="38" ht="42" customHeight="1">
      <c r="A38" s="0" t="inlineStr">
        <is>
          <t xml:space="preserve">Менеджер · Количество сотрудников</t>
        </is>
      </c>
      <c r="B38" s="6">
        <v>1</v>
      </c>
      <c r="C38" s="0" t="inlineStr">
        <is>
          <t xml:space="preserve"/>
        </is>
      </c>
    </row>
    <row r="39" ht="42" customHeight="1">
      <c r="A39" s="0" t="inlineStr">
        <is>
          <t xml:space="preserve">Менеджер · Оклад одного / месяц</t>
        </is>
      </c>
      <c r="B39" s="6">
        <v>300000</v>
      </c>
      <c r="C39" s="0" t="inlineStr">
        <is>
          <t xml:space="preserve"/>
        </is>
      </c>
    </row>
    <row r="40" ht="42" customHeight="1">
      <c r="A40" s="0" t="inlineStr">
        <is>
          <t xml:space="preserve">Менеджер · Бонус одного / месяц</t>
        </is>
      </c>
      <c r="B40" s="6">
        <v>0</v>
      </c>
      <c r="C40" s="0" t="inlineStr">
        <is>
          <t xml:space="preserve"/>
        </is>
      </c>
    </row>
    <row r="41" ht="42" customHeight="1">
      <c r="A41" s="0" t="inlineStr">
        <is>
          <t xml:space="preserve">Менеджер · Начисления работодателя, %</t>
        </is>
      </c>
      <c r="B41" s="6">
        <v>15</v>
      </c>
      <c r="C41" s="0" t="inlineStr">
        <is>
          <t xml:space="preserve"/>
        </is>
      </c>
    </row>
    <row r="42" ht="42" customHeight="1">
      <c r="A42" s="0" t="inlineStr">
        <is>
          <t xml:space="preserve">Менеджер · Рост в месяц, %</t>
        </is>
      </c>
      <c r="B42" s="6">
        <v>0</v>
      </c>
      <c r="C42" s="0" t="inlineStr">
        <is>
          <t xml:space="preserve"/>
        </is>
      </c>
    </row>
    <row r="43" ht="42" customHeight="1">
      <c r="A43" s="0" t="inlineStr">
        <is>
          <t xml:space="preserve">Менеджер · С месяца</t>
        </is>
      </c>
      <c r="B43" s="6">
        <v>1</v>
      </c>
      <c r="C43" s="0" t="inlineStr">
        <is>
          <t xml:space="preserve">Номер периода: 1 — М1, …, 12 — М12</t>
        </is>
      </c>
    </row>
    <row r="44" ht="42" customHeight="1">
      <c r="A44" s="0" t="inlineStr">
        <is>
          <t xml:space="preserve">Менеджер · По месяц</t>
        </is>
      </c>
      <c r="B44" s="6">
        <v>12</v>
      </c>
      <c r="C44" s="0" t="inlineStr">
        <is>
          <t xml:space="preserve">Номер периода: 1 — М1, …, 12 — М12</t>
        </is>
      </c>
    </row>
    <row r="45" ht="42" customHeight="1">
      <c r="A45" s="0" t="inlineStr">
        <is>
          <t xml:space="preserve">Менеджер — копия · Название</t>
        </is>
      </c>
      <c r="B45" s="6" t="inlineStr">
        <is>
          <t xml:space="preserve">Менеджер — копия</t>
        </is>
      </c>
      <c r="C45" s="0" t="inlineStr">
        <is>
          <t xml:space="preserve"/>
        </is>
      </c>
    </row>
    <row r="46" ht="42" customHeight="1">
      <c r="A46" s="0" t="inlineStr">
        <is>
          <t xml:space="preserve">Менеджер — копия · Количество сотрудников</t>
        </is>
      </c>
      <c r="B46" s="6">
        <v>1</v>
      </c>
      <c r="C46" s="0" t="inlineStr">
        <is>
          <t xml:space="preserve"/>
        </is>
      </c>
    </row>
    <row r="47" ht="42" customHeight="1">
      <c r="A47" s="0" t="inlineStr">
        <is>
          <t xml:space="preserve">Менеджер — копия · Оклад одного / месяц</t>
        </is>
      </c>
      <c r="B47" s="6">
        <v>300000</v>
      </c>
      <c r="C47" s="0" t="inlineStr">
        <is>
          <t xml:space="preserve"/>
        </is>
      </c>
    </row>
    <row r="48" ht="42" customHeight="1">
      <c r="A48" s="0" t="inlineStr">
        <is>
          <t xml:space="preserve">Менеджер — копия · Бонус одного / месяц</t>
        </is>
      </c>
      <c r="B48" s="6">
        <v>0</v>
      </c>
      <c r="C48" s="0" t="inlineStr">
        <is>
          <t xml:space="preserve"/>
        </is>
      </c>
    </row>
    <row r="49" ht="42" customHeight="1">
      <c r="A49" s="0" t="inlineStr">
        <is>
          <t xml:space="preserve">Менеджер — копия · Начисления работодателя, %</t>
        </is>
      </c>
      <c r="B49" s="6">
        <v>15</v>
      </c>
      <c r="C49" s="0" t="inlineStr">
        <is>
          <t xml:space="preserve"/>
        </is>
      </c>
    </row>
    <row r="50" ht="42" customHeight="1">
      <c r="A50" s="0" t="inlineStr">
        <is>
          <t xml:space="preserve">Менеджер — копия · Рост в месяц, %</t>
        </is>
      </c>
      <c r="B50" s="6">
        <v>0</v>
      </c>
      <c r="C50" s="0" t="inlineStr">
        <is>
          <t xml:space="preserve"/>
        </is>
      </c>
    </row>
    <row r="51" ht="42" customHeight="1">
      <c r="A51" s="0" t="inlineStr">
        <is>
          <t xml:space="preserve">Менеджер — копия · С месяца</t>
        </is>
      </c>
      <c r="B51" s="6">
        <v>1</v>
      </c>
      <c r="C51" s="0" t="inlineStr">
        <is>
          <t xml:space="preserve">Номер периода: 1 — М1, …, 12 — М12</t>
        </is>
      </c>
    </row>
    <row r="52" ht="42" customHeight="1">
      <c r="A52" s="0" t="inlineStr">
        <is>
          <t xml:space="preserve">Менеджер — копия · По месяц</t>
        </is>
      </c>
      <c r="B52" s="6">
        <v>12</v>
      </c>
      <c r="C52" s="0" t="inlineStr">
        <is>
          <t xml:space="preserve">Номер периода: 1 — М1, …, 12 — М12</t>
        </is>
      </c>
    </row>
    <row r="53" ht="42" customHeight="1">
      <c r="A53" s="0" t="inlineStr">
        <is>
          <t xml:space="preserve">Реклама · Название</t>
        </is>
      </c>
      <c r="B53" s="6" t="inlineStr">
        <is>
          <t xml:space="preserve">Реклама</t>
        </is>
      </c>
      <c r="C53" s="0" t="inlineStr">
        <is>
          <t xml:space="preserve"/>
        </is>
      </c>
    </row>
    <row r="54" ht="42" customHeight="1">
      <c r="A54" s="0" t="inlineStr">
        <is>
          <t xml:space="preserve">Реклама · Бюджет / месяц</t>
        </is>
      </c>
      <c r="B54" s="6">
        <v>120000</v>
      </c>
      <c r="C54" s="0" t="inlineStr">
        <is>
          <t xml:space="preserve"/>
        </is>
      </c>
    </row>
    <row r="55" ht="42" customHeight="1">
      <c r="A55" s="0" t="inlineStr">
        <is>
          <t xml:space="preserve">Реклама · Дополнительно от выручки, %</t>
        </is>
      </c>
      <c r="B55" s="6">
        <v>0</v>
      </c>
      <c r="C55" s="0" t="inlineStr">
        <is>
          <t xml:space="preserve"/>
        </is>
      </c>
    </row>
    <row r="56" ht="42" customHeight="1">
      <c r="A56" s="0" t="inlineStr">
        <is>
          <t xml:space="preserve">Реклама · Рост в месяц, %</t>
        </is>
      </c>
      <c r="B56" s="6">
        <v>0</v>
      </c>
      <c r="C56" s="0" t="inlineStr">
        <is>
          <t xml:space="preserve"/>
        </is>
      </c>
    </row>
    <row r="57" ht="42" customHeight="1">
      <c r="A57" s="0" t="inlineStr">
        <is>
          <t xml:space="preserve">Реклама · Цена клика</t>
        </is>
      </c>
      <c r="B57" s="6">
        <v>150</v>
      </c>
      <c r="C57" s="0" t="inlineStr">
        <is>
          <t xml:space="preserve"/>
        </is>
      </c>
    </row>
    <row r="58" ht="42" customHeight="1">
      <c r="A58" s="0" t="inlineStr">
        <is>
          <t xml:space="preserve">Реклама · Клики → заявки, %</t>
        </is>
      </c>
      <c r="B58" s="6">
        <v>10</v>
      </c>
      <c r="C58" s="0" t="inlineStr">
        <is>
          <t xml:space="preserve"/>
        </is>
      </c>
    </row>
    <row r="59" ht="42" customHeight="1">
      <c r="A59" s="0" t="inlineStr">
        <is>
          <t xml:space="preserve">Реклама · Заявки → клиенты, %</t>
        </is>
      </c>
      <c r="B59" s="6">
        <v>20</v>
      </c>
      <c r="C59" s="0" t="inlineStr">
        <is>
          <t xml:space="preserve"/>
        </is>
      </c>
    </row>
    <row r="60" ht="42" customHeight="1">
      <c r="A60" s="0" t="inlineStr">
        <is>
          <t xml:space="preserve">Реклама · Средний чек клиента</t>
        </is>
      </c>
      <c r="B60" s="6">
        <v>8500</v>
      </c>
      <c r="C60" s="0" t="inlineStr">
        <is>
          <t xml:space="preserve"/>
        </is>
      </c>
    </row>
    <row r="61" ht="42" customHeight="1">
      <c r="A61" s="0" t="inlineStr">
        <is>
          <t xml:space="preserve">Реклама · С месяца</t>
        </is>
      </c>
      <c r="B61" s="6">
        <v>1</v>
      </c>
      <c r="C61" s="0" t="inlineStr">
        <is>
          <t xml:space="preserve">Номер периода: 1 — М1, …, 12 — М12</t>
        </is>
      </c>
    </row>
    <row r="62" ht="42" customHeight="1">
      <c r="A62" s="0" t="inlineStr">
        <is>
          <t xml:space="preserve">Реклама · По месяц</t>
        </is>
      </c>
      <c r="B62" s="6">
        <v>12</v>
      </c>
      <c r="C62" s="0" t="inlineStr">
        <is>
          <t xml:space="preserve">Номер периода: 1 — М1, …, 12 — М12</t>
        </is>
      </c>
    </row>
    <row r="63" ht="42" customHeight="1">
      <c r="A63" s="0" t="inlineStr">
        <is>
          <t xml:space="preserve">Аренда · Название</t>
        </is>
      </c>
      <c r="B63" s="6" t="inlineStr">
        <is>
          <t xml:space="preserve">Аренда</t>
        </is>
      </c>
      <c r="C63" s="0" t="inlineStr">
        <is>
          <t xml:space="preserve"/>
        </is>
      </c>
    </row>
    <row r="64" ht="42" customHeight="1">
      <c r="A64" s="0" t="inlineStr">
        <is>
          <t xml:space="preserve">Аренда · Способ расчёта</t>
        </is>
      </c>
      <c r="B64" s="6" t="inlineStr">
        <is>
          <t xml:space="preserve">fixed</t>
        </is>
      </c>
      <c r="C64" s="0" t="inlineStr">
        <is>
          <t xml:space="preserve">fixed — сумма; percent — % оборота; once — один раз</t>
        </is>
      </c>
    </row>
    <row r="65" ht="42" customHeight="1">
      <c r="A65" s="0" t="inlineStr">
        <is>
          <t xml:space="preserve">Аренда · Сумма или ставка</t>
        </is>
      </c>
      <c r="B65" s="6">
        <v>250000</v>
      </c>
      <c r="C65" s="0" t="inlineStr">
        <is>
          <t xml:space="preserve"/>
        </is>
      </c>
    </row>
    <row r="66" ht="42" customHeight="1">
      <c r="A66" s="0" t="inlineStr">
        <is>
          <t xml:space="preserve">Аренда · Рост в месяц, %</t>
        </is>
      </c>
      <c r="B66" s="6">
        <v>0</v>
      </c>
      <c r="C66" s="0" t="inlineStr">
        <is>
          <t xml:space="preserve"/>
        </is>
      </c>
    </row>
    <row r="67" ht="42" customHeight="1">
      <c r="A67" s="0" t="inlineStr">
        <is>
          <t xml:space="preserve">Аренда · С месяца</t>
        </is>
      </c>
      <c r="B67" s="6">
        <v>1</v>
      </c>
      <c r="C67" s="0" t="inlineStr">
        <is>
          <t xml:space="preserve">Номер периода: 1 — М1, …, 12 — М12</t>
        </is>
      </c>
    </row>
    <row r="68" ht="42" customHeight="1">
      <c r="A68" s="0" t="inlineStr">
        <is>
          <t xml:space="preserve">Аренда · По месяц</t>
        </is>
      </c>
      <c r="B68" s="6">
        <v>12</v>
      </c>
      <c r="C68" s="0" t="inlineStr">
        <is>
          <t xml:space="preserve">Номер периода: 1 — М1, …, 12 — М12</t>
        </is>
      </c>
    </row>
    <row r="69" ht="42" customHeight="1">
      <c r="A69" s="0" t="inlineStr">
        <is>
          <t xml:space="preserve">Сервисы и связь · Название</t>
        </is>
      </c>
      <c r="B69" s="6" t="inlineStr">
        <is>
          <t xml:space="preserve">Сервисы и связь</t>
        </is>
      </c>
      <c r="C69" s="0" t="inlineStr">
        <is>
          <t xml:space="preserve"/>
        </is>
      </c>
    </row>
    <row r="70" ht="42" customHeight="1">
      <c r="A70" s="0" t="inlineStr">
        <is>
          <t xml:space="preserve">Сервисы и связь · Способ расчёта</t>
        </is>
      </c>
      <c r="B70" s="6" t="inlineStr">
        <is>
          <t xml:space="preserve">fixed</t>
        </is>
      </c>
      <c r="C70" s="0" t="inlineStr">
        <is>
          <t xml:space="preserve">fixed — сумма; percent — % оборота; once — один раз</t>
        </is>
      </c>
    </row>
    <row r="71" ht="42" customHeight="1">
      <c r="A71" s="0" t="inlineStr">
        <is>
          <t xml:space="preserve">Сервисы и связь · Сумма или ставка</t>
        </is>
      </c>
      <c r="B71" s="6">
        <v>35000</v>
      </c>
      <c r="C71" s="0" t="inlineStr">
        <is>
          <t xml:space="preserve"/>
        </is>
      </c>
    </row>
    <row r="72" ht="42" customHeight="1">
      <c r="A72" s="0" t="inlineStr">
        <is>
          <t xml:space="preserve">Сервисы и связь · Рост в месяц, %</t>
        </is>
      </c>
      <c r="B72" s="6">
        <v>0</v>
      </c>
      <c r="C72" s="0" t="inlineStr">
        <is>
          <t xml:space="preserve"/>
        </is>
      </c>
    </row>
    <row r="73" ht="42" customHeight="1">
      <c r="A73" s="0" t="inlineStr">
        <is>
          <t xml:space="preserve">Сервисы и связь · С месяца</t>
        </is>
      </c>
      <c r="B73" s="6">
        <v>1</v>
      </c>
      <c r="C73" s="0" t="inlineStr">
        <is>
          <t xml:space="preserve">Номер периода: 1 — М1, …, 12 — М12</t>
        </is>
      </c>
    </row>
    <row r="74" ht="42" customHeight="1">
      <c r="A74" s="0" t="inlineStr">
        <is>
          <t xml:space="preserve">Сервисы и связь · По месяц</t>
        </is>
      </c>
      <c r="B74" s="6">
        <v>12</v>
      </c>
      <c r="C74" s="0" t="inlineStr">
        <is>
          <t xml:space="preserve">Номер периода: 1 — М1, …, 12 — М12</t>
        </is>
      </c>
    </row>
  </sheetData>
  <mergeCells count="2">
    <mergeCell ref="A1:C1"/>
    <mergeCell ref="A2:C2"/>
  </mergeCells>
  <dataValidations count="65">
    <dataValidation type="list" allowBlank="0" showErrorMessage="1" sqref="B4">
      <formula1>"items,manual"</formula1>
    </dataValidation>
    <dataValidation type="decimal" operator="between" allowBlank="0" showErrorMessage="1" sqref="B5">
      <formula1>0</formula1>
      <formula2>100</formula2>
    </dataValidation>
    <dataValidation type="list" allowBlank="0" showErrorMessage="1" sqref="B6">
      <formula1>"profit,revenue,none"</formula1>
    </dataValidation>
    <dataValidation type="decimal" operator="between" allowBlank="0" showErrorMessage="1" sqref="B7">
      <formula1>0</formula1>
      <formula2>100</formula2>
    </dataValidation>
    <dataValidation type="whole" operator="between" allowBlank="0" showErrorMessage="1" sqref="B8">
      <formula1>0</formula1>
      <formula2>12</formula2>
    </dataValidation>
    <dataValidation type="whole" operator="between" allowBlank="0" showErrorMessage="1" sqref="B9">
      <formula1>0</formula1>
      <formula2>12</formula2>
    </dataValidation>
    <dataValidation type="decimal" operator="between" allowBlank="0" showErrorMessage="1" sqref="B10">
      <formula1>0</formula1>
      <formula2>1000000000000</formula2>
    </dataValidation>
    <dataValidation type="decimal" operator="between" allowBlank="0" showErrorMessage="1" sqref="B11">
      <formula1>0</formula1>
      <formula2>1000000000000</formula2>
    </dataValidation>
    <dataValidation type="decimal" operator="between" allowBlank="0" showErrorMessage="1" sqref="B12">
      <formula1>0</formula1>
      <formula2>1000000000000</formula2>
    </dataValidation>
    <dataValidation type="whole" operator="between" allowBlank="0" showErrorMessage="1" sqref="B13">
      <formula1>0</formula1>
      <formula2>600</formula2>
    </dataValidation>
    <dataValidation type="decimal" operator="between" allowBlank="0" showErrorMessage="1" sqref="B14">
      <formula1>0</formula1>
      <formula2>1000000000000</formula2>
    </dataValidation>
    <dataValidation type="decimal" operator="between" allowBlank="0" showErrorMessage="1" sqref="B15">
      <formula1>0</formula1>
      <formula2>100</formula2>
    </dataValidation>
    <dataValidation type="whole" operator="between" allowBlank="0" showErrorMessage="1" sqref="B16">
      <formula1>1</formula1>
      <formula2>600</formula2>
    </dataValidation>
    <dataValidation type="decimal" operator="between" allowBlank="0" showErrorMessage="1" sqref="B17">
      <formula1>0</formula1>
      <formula2>1000000000000</formula2>
    </dataValidation>
    <dataValidation type="decimal" operator="between" allowBlank="0" showErrorMessage="1" sqref="B18">
      <formula1>0</formula1>
      <formula2>1000000000000</formula2>
    </dataValidation>
    <dataValidation type="decimal" operator="between" allowBlank="0" showErrorMessage="1" sqref="B19">
      <formula1>0</formula1>
      <formula2>1000000000000</formula2>
    </dataValidation>
    <dataValidation type="decimal" operator="between" allowBlank="0" showErrorMessage="1" sqref="B20">
      <formula1>0</formula1>
      <formula2>1000000000000</formula2>
    </dataValidation>
    <dataValidation type="decimal" operator="between" allowBlank="0" showErrorMessage="1" sqref="B21">
      <formula1>0</formula1>
      <formula2>1000000000000</formula2>
    </dataValidation>
    <dataValidation type="decimal" operator="between" allowBlank="0" showErrorMessage="1" sqref="B22">
      <formula1>0</formula1>
      <formula2>1000000000000</formula2>
    </dataValidation>
    <dataValidation type="decimal" operator="between" allowBlank="0" showErrorMessage="1" sqref="B23">
      <formula1>0</formula1>
      <formula2>1000000000000</formula2>
    </dataValidation>
    <dataValidation type="decimal" operator="between" allowBlank="0" showErrorMessage="1" sqref="B24">
      <formula1>0</formula1>
      <formula2>1000000000000</formula2>
    </dataValidation>
    <dataValidation type="decimal" operator="between" allowBlank="0" showErrorMessage="1" sqref="B25">
      <formula1>0</formula1>
      <formula2>1000000000000</formula2>
    </dataValidation>
    <dataValidation type="decimal" operator="between" allowBlank="0" showErrorMessage="1" sqref="B26">
      <formula1>0</formula1>
      <formula2>1000000000000</formula2>
    </dataValidation>
    <dataValidation type="decimal" operator="between" allowBlank="0" showErrorMessage="1" sqref="B27">
      <formula1>0</formula1>
      <formula2>1000000000000</formula2>
    </dataValidation>
    <dataValidation type="decimal" operator="between" allowBlank="0" showErrorMessage="1" sqref="B28">
      <formula1>0</formula1>
      <formula2>1000000000000</formula2>
    </dataValidation>
    <dataValidation type="decimal" operator="between" allowBlank="0" showErrorMessage="1" sqref="B29">
      <formula1>0</formula1>
      <formula2>1000000000000</formula2>
    </dataValidation>
    <dataValidation type="decimal" operator="between" allowBlank="0" showErrorMessage="1" sqref="B31">
      <formula1>0</formula1>
      <formula2>1000000000000</formula2>
    </dataValidation>
    <dataValidation type="decimal" operator="between" allowBlank="0" showErrorMessage="1" sqref="B32">
      <formula1>0</formula1>
      <formula2>1000000000000</formula2>
    </dataValidation>
    <dataValidation type="decimal" operator="between" allowBlank="0" showErrorMessage="1" sqref="B33">
      <formula1>-100</formula1>
      <formula2>100</formula2>
    </dataValidation>
    <dataValidation type="decimal" operator="between" allowBlank="0" showErrorMessage="1" sqref="B34">
      <formula1>0</formula1>
      <formula2>100</formula2>
    </dataValidation>
    <dataValidation type="whole" operator="between" allowBlank="0" showErrorMessage="1" sqref="B35">
      <formula1>1</formula1>
      <formula2>12</formula2>
    </dataValidation>
    <dataValidation type="whole" operator="between" allowBlank="0" showErrorMessage="1" sqref="B36">
      <formula1>1</formula1>
      <formula2>12</formula2>
    </dataValidation>
    <dataValidation type="decimal" operator="between" allowBlank="0" showErrorMessage="1" sqref="B38">
      <formula1>0</formula1>
      <formula2>1000000000000</formula2>
    </dataValidation>
    <dataValidation type="decimal" operator="between" allowBlank="0" showErrorMessage="1" sqref="B39">
      <formula1>0</formula1>
      <formula2>1000000000000</formula2>
    </dataValidation>
    <dataValidation type="decimal" operator="between" allowBlank="0" showErrorMessage="1" sqref="B40">
      <formula1>0</formula1>
      <formula2>1000000000000</formula2>
    </dataValidation>
    <dataValidation type="decimal" operator="between" allowBlank="0" showErrorMessage="1" sqref="B41">
      <formula1>0</formula1>
      <formula2>100</formula2>
    </dataValidation>
    <dataValidation type="decimal" operator="between" allowBlank="0" showErrorMessage="1" sqref="B42">
      <formula1>-100</formula1>
      <formula2>100</formula2>
    </dataValidation>
    <dataValidation type="whole" operator="between" allowBlank="0" showErrorMessage="1" sqref="B43">
      <formula1>1</formula1>
      <formula2>12</formula2>
    </dataValidation>
    <dataValidation type="whole" operator="between" allowBlank="0" showErrorMessage="1" sqref="B44">
      <formula1>1</formula1>
      <formula2>12</formula2>
    </dataValidation>
    <dataValidation type="decimal" operator="between" allowBlank="0" showErrorMessage="1" sqref="B46">
      <formula1>0</formula1>
      <formula2>1000000000000</formula2>
    </dataValidation>
    <dataValidation type="decimal" operator="between" allowBlank="0" showErrorMessage="1" sqref="B47">
      <formula1>0</formula1>
      <formula2>1000000000000</formula2>
    </dataValidation>
    <dataValidation type="decimal" operator="between" allowBlank="0" showErrorMessage="1" sqref="B48">
      <formula1>0</formula1>
      <formula2>1000000000000</formula2>
    </dataValidation>
    <dataValidation type="decimal" operator="between" allowBlank="0" showErrorMessage="1" sqref="B49">
      <formula1>0</formula1>
      <formula2>100</formula2>
    </dataValidation>
    <dataValidation type="decimal" operator="between" allowBlank="0" showErrorMessage="1" sqref="B50">
      <formula1>-100</formula1>
      <formula2>100</formula2>
    </dataValidation>
    <dataValidation type="whole" operator="between" allowBlank="0" showErrorMessage="1" sqref="B51">
      <formula1>1</formula1>
      <formula2>12</formula2>
    </dataValidation>
    <dataValidation type="whole" operator="between" allowBlank="0" showErrorMessage="1" sqref="B52">
      <formula1>1</formula1>
      <formula2>12</formula2>
    </dataValidation>
    <dataValidation type="decimal" operator="between" allowBlank="0" showErrorMessage="1" sqref="B54">
      <formula1>0</formula1>
      <formula2>1000000000000</formula2>
    </dataValidation>
    <dataValidation type="decimal" operator="between" allowBlank="0" showErrorMessage="1" sqref="B55">
      <formula1>0</formula1>
      <formula2>100</formula2>
    </dataValidation>
    <dataValidation type="decimal" operator="between" allowBlank="0" showErrorMessage="1" sqref="B56">
      <formula1>-100</formula1>
      <formula2>100</formula2>
    </dataValidation>
    <dataValidation type="decimal" operator="between" allowBlank="0" showErrorMessage="1" sqref="B57">
      <formula1>0</formula1>
      <formula2>1000000000000</formula2>
    </dataValidation>
    <dataValidation type="decimal" operator="between" allowBlank="0" showErrorMessage="1" sqref="B58">
      <formula1>0</formula1>
      <formula2>100</formula2>
    </dataValidation>
    <dataValidation type="decimal" operator="between" allowBlank="0" showErrorMessage="1" sqref="B59">
      <formula1>0</formula1>
      <formula2>100</formula2>
    </dataValidation>
    <dataValidation type="decimal" operator="between" allowBlank="0" showErrorMessage="1" sqref="B60">
      <formula1>0</formula1>
      <formula2>1000000000000</formula2>
    </dataValidation>
    <dataValidation type="whole" operator="between" allowBlank="0" showErrorMessage="1" sqref="B61">
      <formula1>1</formula1>
      <formula2>12</formula2>
    </dataValidation>
    <dataValidation type="whole" operator="between" allowBlank="0" showErrorMessage="1" sqref="B62">
      <formula1>1</formula1>
      <formula2>12</formula2>
    </dataValidation>
    <dataValidation type="list" allowBlank="0" showErrorMessage="1" sqref="B64">
      <formula1>"fixed,percent,once"</formula1>
    </dataValidation>
    <dataValidation type="decimal" operator="between" allowBlank="0" showErrorMessage="1" sqref="B65">
      <formula1>0</formula1>
      <formula2>1000000000000</formula2>
    </dataValidation>
    <dataValidation type="decimal" operator="between" allowBlank="0" showErrorMessage="1" sqref="B66">
      <formula1>-100</formula1>
      <formula2>100</formula2>
    </dataValidation>
    <dataValidation type="whole" operator="between" allowBlank="0" showErrorMessage="1" sqref="B67">
      <formula1>1</formula1>
      <formula2>12</formula2>
    </dataValidation>
    <dataValidation type="whole" operator="between" allowBlank="0" showErrorMessage="1" sqref="B68">
      <formula1>1</formula1>
      <formula2>12</formula2>
    </dataValidation>
    <dataValidation type="list" allowBlank="0" showErrorMessage="1" sqref="B70">
      <formula1>"fixed,percent,once"</formula1>
    </dataValidation>
    <dataValidation type="decimal" operator="between" allowBlank="0" showErrorMessage="1" sqref="B71">
      <formula1>0</formula1>
      <formula2>1000000000000</formula2>
    </dataValidation>
    <dataValidation type="decimal" operator="between" allowBlank="0" showErrorMessage="1" sqref="B72">
      <formula1>-100</formula1>
      <formula2>100</formula2>
    </dataValidation>
    <dataValidation type="whole" operator="between" allowBlank="0" showErrorMessage="1" sqref="B73">
      <formula1>1</formula1>
      <formula2>12</formula2>
    </dataValidation>
    <dataValidation type="whole" operator="between" allowBlank="0" showErrorMessage="1" sqref="B74">
      <formula1>1</formula1>
      <formula2>12</formula2>
    </dataValidation>
  </dataValidations>
</worksheet>
</file>