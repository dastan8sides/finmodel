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Модель" sheetId="1" r:id="rId1"/>
    <sheet name="Вводные" sheetId="2" r:id="rId2"/>
    <sheet name="Показатели" sheetId="3" r:id="rId4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;(#,##0);&quot;—&quot;"/>
  </numFmts>
  <fonts count="3">
    <font>
      <sz val="12"/>
      <name val="Calibri"/>
    </font>
    <font>
      <b/>
      <sz val="12"/>
      <color rgb="FFFFFFFF"/>
      <name val="Calibri"/>
    </font>
    <font>
      <b/>
      <sz val="1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03864"/>
        <bgColor indexed="64"/>
      </patternFill>
    </fill>
    <fill>
      <patternFill patternType="solid">
        <fgColor rgb="FFF2F6FA"/>
        <bgColor indexed="64"/>
      </patternFill>
    </fill>
    <fill>
      <patternFill patternType="solid">
        <fgColor rgb="FFD9E5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2">
    <border/>
    <border>
      <left style="thin">
        <color rgb="FF9EADBA"/>
      </left>
      <right style="thin">
        <color rgb="FF9EADBA"/>
      </right>
      <top style="thin">
        <color rgb="FF9EADBA"/>
      </top>
      <bottom style="thin">
        <color rgb="FF9EADBA"/>
      </bottom>
    </border>
  </borders>
  <cellStyleXfs count="1">
    <xf numFmtId="0" fontId="0" fillId="0" borderId="0"/>
  </cellStyleXfs>
  <cellXfs count="28">
    <xf numFmtId="0" fontId="0" fillId="0" borderId="0" xfId="0" applyNumberFormat="1" applyAlignment="1">
      <alignment vertical="center" wrapText="1"/>
    </xf>
    <xf numFmtId="0" fontId="1" fillId="2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 wrapText="1"/>
    </xf>
    <xf numFmtId="0" fontId="2" fillId="0" borderId="0" xfId="0" applyNumberFormat="1" applyAlignment="1">
      <alignment vertical="center" wrapText="1"/>
    </xf>
    <xf numFmtId="0" fontId="0" fillId="3" borderId="0" xfId="0" applyNumberFormat="1" applyAlignment="1">
      <alignment vertical="center" wrapText="1"/>
    </xf>
    <xf applyFill="1" applyBorder="1" numFmtId="0" fontId="1" fillId="2" borderId="1" xfId="0" applyNumberFormat="1" applyAlignment="1">
      <alignment vertical="center" wrapText="1"/>
    </xf>
    <xf applyFill="1" applyBorder="1" numFmtId="0" fontId="0" fillId="0" borderId="1" xfId="0" applyNumberFormat="1" applyAlignment="1">
      <alignment vertical="center" wrapText="1"/>
    </xf>
    <xf applyFill="1" applyBorder="1" numFmtId="0" fontId="0" fillId="3" borderId="1" xfId="0" applyNumberFormat="1" applyAlignment="1">
      <alignment vertical="center" wrapText="1"/>
    </xf>
    <xf applyFill="1" applyBorder="1" numFmtId="164" fontId="0" fillId="0" borderId="1" xfId="0" applyNumberFormat="1" applyAlignment="1">
      <alignment vertical="center" wrapText="1"/>
    </xf>
    <xf applyFill="1" applyBorder="1" numFmtId="164" fontId="2" fillId="4" borderId="1" xfId="0" applyNumberFormat="1" applyAlignment="1">
      <alignment vertical="center" wrapText="1"/>
    </xf>
    <xf applyFill="1" applyBorder="1" numFmtId="164" fontId="0" fillId="3" borderId="1" xfId="0" applyNumberFormat="1" applyAlignment="1">
      <alignment vertical="center" wrapText="1"/>
    </xf>
    <xf applyFill="1" applyBorder="1" numFmtId="0" fontId="2" fillId="6" borderId="1" xfId="0" applyNumberFormat="1" applyAlignment="1">
      <alignment vertical="center" wrapText="1"/>
    </xf>
    <xf applyFill="1" applyBorder="1" numFmtId="164" fontId="2" fillId="6" borderId="1" xfId="0" applyNumberFormat="1" applyAlignment="1">
      <alignment vertical="center" wrapText="1"/>
    </xf>
    <xf applyFill="1" applyBorder="1" numFmtId="0" fontId="2" fillId="6" borderId="1" xfId="0" applyNumberFormat="1" applyAlignment="1">
      <alignment vertical="center" wrapText="1"/>
    </xf>
    <xf applyFill="1" applyBorder="1" numFmtId="0" fontId="2" fillId="4" borderId="1" xfId="0" applyNumberFormat="1" applyAlignment="1">
      <alignment vertical="center" wrapText="1"/>
    </xf>
    <xf applyFill="1" applyBorder="1" numFmtId="0" fontId="2" fillId="4" borderId="1" xfId="0" applyNumberFormat="1" applyAlignment="1">
      <alignment vertical="center" wrapText="1"/>
    </xf>
    <xf applyFill="1" applyBorder="1" numFmtId="0" fontId="2" fillId="3" borderId="1" xfId="0" applyNumberFormat="1" applyAlignment="1">
      <alignment vertical="center" wrapText="1"/>
    </xf>
    <xf applyFill="1" applyBorder="1" numFmtId="10" fontId="0" fillId="3" borderId="1" xfId="0" applyNumberFormat="1" applyAlignment="1">
      <alignment vertical="center" wrapText="1"/>
    </xf>
    <xf applyFill="1" applyBorder="1" numFmtId="10" fontId="2" fillId="4" borderId="1" xfId="0" applyNumberFormat="1" applyAlignment="1">
      <alignment vertical="center" wrapText="1"/>
    </xf>
    <xf applyFill="1" applyBorder="1" numFmtId="0" fontId="2" fillId="0" borderId="1" xfId="0" applyNumberFormat="1" applyAlignment="1">
      <alignment vertical="center" wrapText="1"/>
    </xf>
    <xf applyFill="1" applyBorder="1" numFmtId="10" fontId="0" fillId="0" borderId="1" xfId="0" applyNumberFormat="1" applyAlignment="1">
      <alignment vertical="center" wrapText="1"/>
    </xf>
    <xf applyFill="1" applyBorder="1" numFmtId="2" fontId="0" fillId="3" borderId="1" xfId="0" applyNumberFormat="1" applyAlignment="1">
      <alignment vertical="center" wrapText="1"/>
    </xf>
    <xf applyFill="1" applyBorder="1" numFmtId="2" fontId="2" fillId="4" borderId="1" xfId="0" applyNumberFormat="1" applyAlignment="1">
      <alignment vertical="center" wrapText="1"/>
    </xf>
    <xf applyFill="1" applyBorder="1" numFmtId="0" fontId="2" fillId="5" borderId="1" xfId="0" applyNumberFormat="1" applyAlignment="1">
      <alignment vertical="center" wrapText="1"/>
    </xf>
    <xf applyFill="1" applyBorder="1" numFmtId="0" fontId="0" fillId="4" borderId="1" xfId="0" applyNumberFormat="1" applyAlignment="1">
      <alignment vertical="center" wrapText="1"/>
    </xf>
    <xf applyFill="1" applyBorder="1" numFmtId="2" fontId="0" fillId="0" borderId="1" xfId="0" applyNumberFormat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 showGridLines="0">
      <pane xSplit="1" ySplit="4" topLeftCell="B5" activePane="bottomRight" state="frozen"/>
    </sheetView>
  </sheetViews>
  <cols>
    <col min="1" max="1" width="43" customWidth="1"/>
    <col min="2" max="14" width="20" customWidth="1"/>
    <col min="15" max="15" width="82" customWidth="1"/>
  </cols>
  <sheetData>
    <row r="1" ht="32" customHeight="1">
      <c r="A1" s="7" t="inlineStr">
        <is>
          <t xml:space="preserve">КОНТУР / Мой бизнес</t>
        </is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ht="25" customHeight="1">
      <c r="A2" s="9" t="inlineStr">
        <is>
          <t xml:space="preserve">Базовый · KZT · 12 месяцев. Потоки — сумма; остатки — на конец М12.</t>
        </is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ht="25" customHeight="1">
      <c r="A3" s="7" t="inlineStr">
        <is>
          <t xml:space="preserve">Чистая прибыль</t>
        </is>
      </c>
      <c r="B3" s="10">
        <f>N40</f>
        <v>13414745.30120845</v>
      </c>
      <c r="C3" s="8"/>
      <c r="D3" s="7" t="inlineStr">
        <is>
          <t xml:space="preserve">Выручка</t>
        </is>
      </c>
      <c r="E3" s="10">
        <f>N8</f>
        <v>38315803.933689654</v>
      </c>
      <c r="F3" s="8"/>
      <c r="G3" s="7" t="inlineStr">
        <is>
          <t xml:space="preserve">Деньги на конец</t>
        </is>
      </c>
      <c r="H3" s="10">
        <f>M48</f>
        <v>14414745.30120845</v>
      </c>
      <c r="I3" s="8"/>
      <c r="J3" s="8"/>
      <c r="K3" s="8"/>
      <c r="L3" s="8"/>
      <c r="M3" s="8"/>
      <c r="N3" s="8"/>
      <c r="O3" s="8"/>
    </row>
    <row r="4" ht="30" customHeight="1">
      <c r="A4" s="7" t="inlineStr">
        <is>
          <t xml:space="preserve">Показатель</t>
        </is>
      </c>
      <c r="B4" s="7" t="inlineStr">
        <is>
          <t xml:space="preserve">М1</t>
        </is>
      </c>
      <c r="C4" s="7" t="inlineStr">
        <is>
          <t xml:space="preserve">М2</t>
        </is>
      </c>
      <c r="D4" s="7" t="inlineStr">
        <is>
          <t xml:space="preserve">М3</t>
        </is>
      </c>
      <c r="E4" s="7" t="inlineStr">
        <is>
          <t xml:space="preserve">М4</t>
        </is>
      </c>
      <c r="F4" s="7" t="inlineStr">
        <is>
          <t xml:space="preserve">М5</t>
        </is>
      </c>
      <c r="G4" s="7" t="inlineStr">
        <is>
          <t xml:space="preserve">М6</t>
        </is>
      </c>
      <c r="H4" s="7" t="inlineStr">
        <is>
          <t xml:space="preserve">М7</t>
        </is>
      </c>
      <c r="I4" s="7" t="inlineStr">
        <is>
          <t xml:space="preserve">М8</t>
        </is>
      </c>
      <c r="J4" s="7" t="inlineStr">
        <is>
          <t xml:space="preserve">М9</t>
        </is>
      </c>
      <c r="K4" s="7" t="inlineStr">
        <is>
          <t xml:space="preserve">М10</t>
        </is>
      </c>
      <c r="L4" s="7" t="inlineStr">
        <is>
          <t xml:space="preserve">М11</t>
        </is>
      </c>
      <c r="M4" s="7" t="inlineStr">
        <is>
          <t xml:space="preserve">М12</t>
        </is>
      </c>
      <c r="N4" s="7" t="inlineStr">
        <is>
          <t xml:space="preserve">Год / конец</t>
        </is>
      </c>
      <c r="O4" s="7" t="inlineStr">
        <is>
          <t xml:space="preserve">Как считается</t>
        </is>
      </c>
    </row>
    <row r="5" ht="25" customHeight="1">
      <c r="A5" s="8" t="inlineStr">
        <is>
          <t xml:space="preserve">Основной продукт · количество</t>
        </is>
      </c>
      <c r="B5" s="10">
        <f>IF(AND((1&gt;='Вводные'!$B$47),(1&lt;='Вводные'!$B$48)),(('Вводные'!$B$43*'Вводные'!$B$29)*((1+('Вводные'!$B$45/100))^MAX(0,(1-'Вводные'!$B$47)))),0)</f>
        <v>300</v>
      </c>
      <c r="C5" s="10">
        <f>IF(AND((2&gt;='Вводные'!$B$47),(2&lt;='Вводные'!$B$48)),(('Вводные'!$B$43*'Вводные'!$B$29)*((1+('Вводные'!$B$45/100))^MAX(0,(2-'Вводные'!$B$47)))),0)</f>
        <v>312</v>
      </c>
      <c r="D5" s="10">
        <f>IF(AND((3&gt;='Вводные'!$B$47),(3&lt;='Вводные'!$B$48)),(('Вводные'!$B$43*'Вводные'!$B$29)*((1+('Вводные'!$B$45/100))^MAX(0,(3-'Вводные'!$B$47)))),0)</f>
        <v>324.48</v>
      </c>
      <c r="E5" s="10">
        <f>IF(AND((4&gt;='Вводные'!$B$47),(4&lt;='Вводные'!$B$48)),(('Вводные'!$B$43*'Вводные'!$B$29)*((1+('Вводные'!$B$45/100))^MAX(0,(4-'Вводные'!$B$47)))),0)</f>
        <v>337.4592</v>
      </c>
      <c r="F5" s="10">
        <f>IF(AND((5&gt;='Вводные'!$B$47),(5&lt;='Вводные'!$B$48)),(('Вводные'!$B$43*'Вводные'!$B$29)*((1+('Вводные'!$B$45/100))^MAX(0,(5-'Вводные'!$B$47)))),0)</f>
        <v>350.95756800000004</v>
      </c>
      <c r="G5" s="10">
        <f>IF(AND((6&gt;='Вводные'!$B$47),(6&lt;='Вводные'!$B$48)),(('Вводные'!$B$43*'Вводные'!$B$29)*((1+('Вводные'!$B$45/100))^MAX(0,(6-'Вводные'!$B$47)))),0)</f>
        <v>364.99587072</v>
      </c>
      <c r="H5" s="10">
        <f>IF(AND((7&gt;='Вводные'!$B$47),(7&lt;='Вводные'!$B$48)),(('Вводные'!$B$43*'Вводные'!$B$29)*((1+('Вводные'!$B$45/100))^MAX(0,(7-'Вводные'!$B$47)))),0)</f>
        <v>379.5957055488001</v>
      </c>
      <c r="I5" s="10">
        <f>IF(AND((8&gt;='Вводные'!$B$47),(8&lt;='Вводные'!$B$48)),(('Вводные'!$B$43*'Вводные'!$B$29)*((1+('Вводные'!$B$45/100))^MAX(0,(8-'Вводные'!$B$47)))),0)</f>
        <v>394.7795337707521</v>
      </c>
      <c r="J5" s="10">
        <f>IF(AND((9&gt;='Вводные'!$B$47),(9&lt;='Вводные'!$B$48)),(('Вводные'!$B$43*'Вводные'!$B$29)*((1+('Вводные'!$B$45/100))^MAX(0,(9-'Вводные'!$B$47)))),0)</f>
        <v>410.57071512158217</v>
      </c>
      <c r="K5" s="10">
        <f>IF(AND((10&gt;='Вводные'!$B$47),(10&lt;='Вводные'!$B$48)),(('Вводные'!$B$43*'Вводные'!$B$29)*((1+('Вводные'!$B$45/100))^MAX(0,(10-'Вводные'!$B$47)))),0)</f>
        <v>426.99354372644547</v>
      </c>
      <c r="L5" s="10">
        <f>IF(AND((11&gt;='Вводные'!$B$47),(11&lt;='Вводные'!$B$48)),(('Вводные'!$B$43*'Вводные'!$B$29)*((1+('Вводные'!$B$45/100))^MAX(0,(11-'Вводные'!$B$47)))),0)</f>
        <v>444.0732854755033</v>
      </c>
      <c r="M5" s="10">
        <f>IF(AND((12&gt;='Вводные'!$B$47),(12&lt;='Вводные'!$B$48)),(('Вводные'!$B$43*'Вводные'!$B$29)*((1+('Вводные'!$B$45/100))^MAX(0,(12-'Вводные'!$B$47)))),0)</f>
        <v>461.8362168945235</v>
      </c>
      <c r="N5" s="11">
        <f>SUM(B5:M5)</f>
        <v>4507.741639257606</v>
      </c>
      <c r="O5" s="8" t="inlineStr">
        <is>
          <t xml:space="preserve">Продажи</t>
        </is>
      </c>
    </row>
    <row r="6" ht="25" customHeight="1">
      <c r="A6" s="9" t="inlineStr">
        <is>
          <t xml:space="preserve">Основной продукт · выручка</t>
        </is>
      </c>
      <c r="B6" s="12">
        <f>(B5*'Вводные'!$B$44)</f>
        <v>2550000</v>
      </c>
      <c r="C6" s="12">
        <f>(C5*'Вводные'!$B$44)</f>
        <v>2652000</v>
      </c>
      <c r="D6" s="12">
        <f>(D5*'Вводные'!$B$44)</f>
        <v>2758080</v>
      </c>
      <c r="E6" s="12">
        <f>(E5*'Вводные'!$B$44)</f>
        <v>2868403.2</v>
      </c>
      <c r="F6" s="12">
        <f>(F5*'Вводные'!$B$44)</f>
        <v>2983139.328</v>
      </c>
      <c r="G6" s="12">
        <f>(G5*'Вводные'!$B$44)</f>
        <v>3102464.90112</v>
      </c>
      <c r="H6" s="12">
        <f>(H5*'Вводные'!$B$44)</f>
        <v>3226563.4971648008</v>
      </c>
      <c r="I6" s="12">
        <f>(I5*'Вводные'!$B$44)</f>
        <v>3355626.0370513927</v>
      </c>
      <c r="J6" s="12">
        <f>(J5*'Вводные'!$B$44)</f>
        <v>3489851.0785334483</v>
      </c>
      <c r="K6" s="12">
        <f>(K5*'Вводные'!$B$44)</f>
        <v>3629445.1216747863</v>
      </c>
      <c r="L6" s="12">
        <f>(L5*'Вводные'!$B$44)</f>
        <v>3774622.9265417783</v>
      </c>
      <c r="M6" s="12">
        <f>(M5*'Вводные'!$B$44)</f>
        <v>3925607.84360345</v>
      </c>
      <c r="N6" s="11">
        <f>SUM(B6:M6)</f>
        <v>38315803.933689654</v>
      </c>
      <c r="O6" s="9" t="inlineStr">
        <is>
          <t xml:space="preserve">Продажи</t>
        </is>
      </c>
    </row>
    <row r="7" ht="25" customHeight="1">
      <c r="A7" s="8" t="inlineStr">
        <is>
          <t xml:space="preserve">Основной продукт · себестоимость</t>
        </is>
      </c>
      <c r="B7" s="10">
        <f>(B6*('Вводные'!$B$46/100))</f>
        <v>892500</v>
      </c>
      <c r="C7" s="10">
        <f>(C6*('Вводные'!$B$46/100))</f>
        <v>928199.9999999999</v>
      </c>
      <c r="D7" s="10">
        <f>(D6*('Вводные'!$B$46/100))</f>
        <v>965327.9999999999</v>
      </c>
      <c r="E7" s="10">
        <f>(E6*('Вводные'!$B$46/100))</f>
        <v>1003941.12</v>
      </c>
      <c r="F7" s="10">
        <f>(F6*('Вводные'!$B$46/100))</f>
        <v>1044098.7648</v>
      </c>
      <c r="G7" s="10">
        <f>(G6*('Вводные'!$B$46/100))</f>
        <v>1085862.715392</v>
      </c>
      <c r="H7" s="10">
        <f>(H6*('Вводные'!$B$46/100))</f>
        <v>1129297.22400768</v>
      </c>
      <c r="I7" s="10">
        <f>(I6*('Вводные'!$B$46/100))</f>
        <v>1174469.1129679873</v>
      </c>
      <c r="J7" s="10">
        <f>(J6*('Вводные'!$B$46/100))</f>
        <v>1221447.8774867067</v>
      </c>
      <c r="K7" s="10">
        <f>(K6*('Вводные'!$B$46/100))</f>
        <v>1270305.792586175</v>
      </c>
      <c r="L7" s="10">
        <f>(L6*('Вводные'!$B$46/100))</f>
        <v>1321118.0242896222</v>
      </c>
      <c r="M7" s="10">
        <f>(M6*('Вводные'!$B$46/100))</f>
        <v>1373962.7452612075</v>
      </c>
      <c r="N7" s="11">
        <f>SUM(B7:M7)</f>
        <v>13410531.37679138</v>
      </c>
      <c r="O7" s="8" t="inlineStr">
        <is>
          <t xml:space="preserve">Продажи</t>
        </is>
      </c>
    </row>
    <row r="8" ht="55" customHeight="1">
      <c r="A8" s="13" t="inlineStr">
        <is>
          <t xml:space="preserve">Выручка / оборот</t>
        </is>
      </c>
      <c r="B8" s="14">
        <f>IF(('Вводные'!$B$4="manual"),('Вводные'!$B$30*'Вводные'!$B$29),B6)</f>
        <v>2550000</v>
      </c>
      <c r="C8" s="14">
        <f>IF(('Вводные'!$B$4="manual"),('Вводные'!$B$31*'Вводные'!$B$29),C6)</f>
        <v>2652000</v>
      </c>
      <c r="D8" s="14">
        <f>IF(('Вводные'!$B$4="manual"),('Вводные'!$B$32*'Вводные'!$B$29),D6)</f>
        <v>2758080</v>
      </c>
      <c r="E8" s="14">
        <f>IF(('Вводные'!$B$4="manual"),('Вводные'!$B$33*'Вводные'!$B$29),E6)</f>
        <v>2868403.2</v>
      </c>
      <c r="F8" s="14">
        <f>IF(('Вводные'!$B$4="manual"),('Вводные'!$B$34*'Вводные'!$B$29),F6)</f>
        <v>2983139.328</v>
      </c>
      <c r="G8" s="14">
        <f>IF(('Вводные'!$B$4="manual"),('Вводные'!$B$35*'Вводные'!$B$29),G6)</f>
        <v>3102464.90112</v>
      </c>
      <c r="H8" s="14">
        <f>IF(('Вводные'!$B$4="manual"),('Вводные'!$B$36*'Вводные'!$B$29),H6)</f>
        <v>3226563.4971648008</v>
      </c>
      <c r="I8" s="14">
        <f>IF(('Вводные'!$B$4="manual"),('Вводные'!$B$37*'Вводные'!$B$29),I6)</f>
        <v>3355626.0370513927</v>
      </c>
      <c r="J8" s="14">
        <f>IF(('Вводные'!$B$4="manual"),('Вводные'!$B$38*'Вводные'!$B$29),J6)</f>
        <v>3489851.0785334483</v>
      </c>
      <c r="K8" s="14">
        <f>IF(('Вводные'!$B$4="manual"),('Вводные'!$B$39*'Вводные'!$B$29),K6)</f>
        <v>3629445.1216747863</v>
      </c>
      <c r="L8" s="14">
        <f>IF(('Вводные'!$B$4="manual"),('Вводные'!$B$40*'Вводные'!$B$29),L6)</f>
        <v>3774622.9265417783</v>
      </c>
      <c r="M8" s="14">
        <f>IF(('Вводные'!$B$4="manual"),('Вводные'!$B$41*'Вводные'!$B$29),M6)</f>
        <v>3925607.84360345</v>
      </c>
      <c r="N8" s="14">
        <f>SUM(B8:M8)</f>
        <v>38315803.933689654</v>
      </c>
      <c r="O8" s="15" t="inlineStr">
        <is>
          <t xml:space="preserve">По продуктам: количество × цена. Вручную: введённый оборот. Сценарий применяется один раз.</t>
        </is>
      </c>
    </row>
    <row r="9" ht="55" customHeight="1">
      <c r="A9" s="16" t="inlineStr">
        <is>
          <t xml:space="preserve">Себестоимость продаж</t>
        </is>
      </c>
      <c r="B9" s="11">
        <f>IF(('Вводные'!$B$4="manual"),(B8*('Вводные'!$B$5/100)),B7)</f>
        <v>892500</v>
      </c>
      <c r="C9" s="11">
        <f>IF(('Вводные'!$B$4="manual"),(C8*('Вводные'!$B$5/100)),C7)</f>
        <v>928199.9999999999</v>
      </c>
      <c r="D9" s="11">
        <f>IF(('Вводные'!$B$4="manual"),(D8*('Вводные'!$B$5/100)),D7)</f>
        <v>965327.9999999999</v>
      </c>
      <c r="E9" s="11">
        <f>IF(('Вводные'!$B$4="manual"),(E8*('Вводные'!$B$5/100)),E7)</f>
        <v>1003941.12</v>
      </c>
      <c r="F9" s="11">
        <f>IF(('Вводные'!$B$4="manual"),(F8*('Вводные'!$B$5/100)),F7)</f>
        <v>1044098.7648</v>
      </c>
      <c r="G9" s="11">
        <f>IF(('Вводные'!$B$4="manual"),(G8*('Вводные'!$B$5/100)),G7)</f>
        <v>1085862.715392</v>
      </c>
      <c r="H9" s="11">
        <f>IF(('Вводные'!$B$4="manual"),(H8*('Вводные'!$B$5/100)),H7)</f>
        <v>1129297.22400768</v>
      </c>
      <c r="I9" s="11">
        <f>IF(('Вводные'!$B$4="manual"),(I8*('Вводные'!$B$5/100)),I7)</f>
        <v>1174469.1129679873</v>
      </c>
      <c r="J9" s="11">
        <f>IF(('Вводные'!$B$4="manual"),(J8*('Вводные'!$B$5/100)),J7)</f>
        <v>1221447.8774867067</v>
      </c>
      <c r="K9" s="11">
        <f>IF(('Вводные'!$B$4="manual"),(K8*('Вводные'!$B$5/100)),K7)</f>
        <v>1270305.792586175</v>
      </c>
      <c r="L9" s="11">
        <f>IF(('Вводные'!$B$4="manual"),(L8*('Вводные'!$B$5/100)),L7)</f>
        <v>1321118.0242896222</v>
      </c>
      <c r="M9" s="11">
        <f>IF(('Вводные'!$B$4="manual"),(M8*('Вводные'!$B$5/100)),M7)</f>
        <v>1373962.7452612075</v>
      </c>
      <c r="N9" s="11">
        <f>SUM(B9:M9)</f>
        <v>13410531.37679138</v>
      </c>
      <c r="O9" s="17" t="inlineStr">
        <is>
          <t xml:space="preserve">Себестоимость продуктов или доля ручного оборота. Не дублируйте её в прочих расходах.</t>
        </is>
      </c>
    </row>
    <row r="10" ht="55" customHeight="1">
      <c r="A10" s="16" t="inlineStr">
        <is>
          <t xml:space="preserve">Валовая прибыль</t>
        </is>
      </c>
      <c r="B10" s="11">
        <f>(B8-B9)</f>
        <v>1657500</v>
      </c>
      <c r="C10" s="11">
        <f>(C8-C9)</f>
        <v>1723800</v>
      </c>
      <c r="D10" s="11">
        <f>(D8-D9)</f>
        <v>1792752</v>
      </c>
      <c r="E10" s="11">
        <f>(E8-E9)</f>
        <v>1864462.08</v>
      </c>
      <c r="F10" s="11">
        <f>(F8-F9)</f>
        <v>1939040.5632000002</v>
      </c>
      <c r="G10" s="11">
        <f>(G8-G9)</f>
        <v>2016602.185728</v>
      </c>
      <c r="H10" s="11">
        <f>(H8-H9)</f>
        <v>2097266.2731571207</v>
      </c>
      <c r="I10" s="11">
        <f>(I8-I9)</f>
        <v>2181156.924083405</v>
      </c>
      <c r="J10" s="11">
        <f>(J8-J9)</f>
        <v>2268403.2010467416</v>
      </c>
      <c r="K10" s="11">
        <f>(K8-K9)</f>
        <v>2359139.3290886115</v>
      </c>
      <c r="L10" s="11">
        <f>(L8-L9)</f>
        <v>2453504.9022521563</v>
      </c>
      <c r="M10" s="11">
        <f>(M8-M9)</f>
        <v>2551645.0983422427</v>
      </c>
      <c r="N10" s="11">
        <f>SUM(B10:M10)</f>
        <v>24905272.55689828</v>
      </c>
      <c r="O10" s="17" t="inlineStr">
        <is>
          <t xml:space="preserve">Выручка − себестоимость.</t>
        </is>
      </c>
    </row>
    <row r="11" ht="25" customHeight="1">
      <c r="A11" s="8" t="inlineStr">
        <is>
          <t xml:space="preserve">Менеджер · оклады и бонусы</t>
        </is>
      </c>
      <c r="B11" s="10">
        <f>IF(AND((1&gt;='Вводные'!$B$55),(1&lt;='Вводные'!$B$56)),(('Вводные'!$B$50*('Вводные'!$B$51+'Вводные'!$B$52))*((1+('Вводные'!$B$54/100))^MAX(0,(1-'Вводные'!$B$55)))),0)</f>
        <v>300000</v>
      </c>
      <c r="C11" s="10">
        <f>IF(AND((2&gt;='Вводные'!$B$55),(2&lt;='Вводные'!$B$56)),(('Вводные'!$B$50*('Вводные'!$B$51+'Вводные'!$B$52))*((1+('Вводные'!$B$54/100))^MAX(0,(2-'Вводные'!$B$55)))),0)</f>
        <v>300000</v>
      </c>
      <c r="D11" s="10">
        <f>IF(AND((3&gt;='Вводные'!$B$55),(3&lt;='Вводные'!$B$56)),(('Вводные'!$B$50*('Вводные'!$B$51+'Вводные'!$B$52))*((1+('Вводные'!$B$54/100))^MAX(0,(3-'Вводные'!$B$55)))),0)</f>
        <v>300000</v>
      </c>
      <c r="E11" s="10">
        <f>IF(AND((4&gt;='Вводные'!$B$55),(4&lt;='Вводные'!$B$56)),(('Вводные'!$B$50*('Вводные'!$B$51+'Вводные'!$B$52))*((1+('Вводные'!$B$54/100))^MAX(0,(4-'Вводные'!$B$55)))),0)</f>
        <v>300000</v>
      </c>
      <c r="F11" s="10">
        <f>IF(AND((5&gt;='Вводные'!$B$55),(5&lt;='Вводные'!$B$56)),(('Вводные'!$B$50*('Вводные'!$B$51+'Вводные'!$B$52))*((1+('Вводные'!$B$54/100))^MAX(0,(5-'Вводные'!$B$55)))),0)</f>
        <v>300000</v>
      </c>
      <c r="G11" s="10">
        <f>IF(AND((6&gt;='Вводные'!$B$55),(6&lt;='Вводные'!$B$56)),(('Вводные'!$B$50*('Вводные'!$B$51+'Вводные'!$B$52))*((1+('Вводные'!$B$54/100))^MAX(0,(6-'Вводные'!$B$55)))),0)</f>
        <v>300000</v>
      </c>
      <c r="H11" s="10">
        <f>IF(AND((7&gt;='Вводные'!$B$55),(7&lt;='Вводные'!$B$56)),(('Вводные'!$B$50*('Вводные'!$B$51+'Вводные'!$B$52))*((1+('Вводные'!$B$54/100))^MAX(0,(7-'Вводные'!$B$55)))),0)</f>
        <v>300000</v>
      </c>
      <c r="I11" s="10">
        <f>IF(AND((8&gt;='Вводные'!$B$55),(8&lt;='Вводные'!$B$56)),(('Вводные'!$B$50*('Вводные'!$B$51+'Вводные'!$B$52))*((1+('Вводные'!$B$54/100))^MAX(0,(8-'Вводные'!$B$55)))),0)</f>
        <v>300000</v>
      </c>
      <c r="J11" s="10">
        <f>IF(AND((9&gt;='Вводные'!$B$55),(9&lt;='Вводные'!$B$56)),(('Вводные'!$B$50*('Вводные'!$B$51+'Вводные'!$B$52))*((1+('Вводные'!$B$54/100))^MAX(0,(9-'Вводные'!$B$55)))),0)</f>
        <v>300000</v>
      </c>
      <c r="K11" s="10">
        <f>IF(AND((10&gt;='Вводные'!$B$55),(10&lt;='Вводные'!$B$56)),(('Вводные'!$B$50*('Вводные'!$B$51+'Вводные'!$B$52))*((1+('Вводные'!$B$54/100))^MAX(0,(10-'Вводные'!$B$55)))),0)</f>
        <v>300000</v>
      </c>
      <c r="L11" s="10">
        <f>IF(AND((11&gt;='Вводные'!$B$55),(11&lt;='Вводные'!$B$56)),(('Вводные'!$B$50*('Вводные'!$B$51+'Вводные'!$B$52))*((1+('Вводные'!$B$54/100))^MAX(0,(11-'Вводные'!$B$55)))),0)</f>
        <v>300000</v>
      </c>
      <c r="M11" s="10">
        <f>IF(AND((12&gt;='Вводные'!$B$55),(12&lt;='Вводные'!$B$56)),(('Вводные'!$B$50*('Вводные'!$B$51+'Вводные'!$B$52))*((1+('Вводные'!$B$54/100))^MAX(0,(12-'Вводные'!$B$55)))),0)</f>
        <v>300000</v>
      </c>
      <c r="N11" s="11">
        <f>SUM(B11:M11)</f>
        <v>3600000</v>
      </c>
      <c r="O11" s="8" t="inlineStr">
        <is>
          <t xml:space="preserve">Команда</t>
        </is>
      </c>
    </row>
    <row r="12" ht="25" customHeight="1">
      <c r="A12" s="9" t="inlineStr">
        <is>
          <t xml:space="preserve">Менеджер · начисления</t>
        </is>
      </c>
      <c r="B12" s="12">
        <f>(B11*('Вводные'!$B$53/100))</f>
        <v>45000</v>
      </c>
      <c r="C12" s="12">
        <f>(C11*('Вводные'!$B$53/100))</f>
        <v>45000</v>
      </c>
      <c r="D12" s="12">
        <f>(D11*('Вводные'!$B$53/100))</f>
        <v>45000</v>
      </c>
      <c r="E12" s="12">
        <f>(E11*('Вводные'!$B$53/100))</f>
        <v>45000</v>
      </c>
      <c r="F12" s="12">
        <f>(F11*('Вводные'!$B$53/100))</f>
        <v>45000</v>
      </c>
      <c r="G12" s="12">
        <f>(G11*('Вводные'!$B$53/100))</f>
        <v>45000</v>
      </c>
      <c r="H12" s="12">
        <f>(H11*('Вводные'!$B$53/100))</f>
        <v>45000</v>
      </c>
      <c r="I12" s="12">
        <f>(I11*('Вводные'!$B$53/100))</f>
        <v>45000</v>
      </c>
      <c r="J12" s="12">
        <f>(J11*('Вводные'!$B$53/100))</f>
        <v>45000</v>
      </c>
      <c r="K12" s="12">
        <f>(K11*('Вводные'!$B$53/100))</f>
        <v>45000</v>
      </c>
      <c r="L12" s="12">
        <f>(L11*('Вводные'!$B$53/100))</f>
        <v>45000</v>
      </c>
      <c r="M12" s="12">
        <f>(M11*('Вводные'!$B$53/100))</f>
        <v>45000</v>
      </c>
      <c r="N12" s="11">
        <f>SUM(B12:M12)</f>
        <v>540000</v>
      </c>
      <c r="O12" s="9" t="inlineStr">
        <is>
          <t xml:space="preserve">Команда</t>
        </is>
      </c>
    </row>
    <row r="13" ht="25" customHeight="1">
      <c r="A13" s="16" t="inlineStr">
        <is>
          <t xml:space="preserve">Оклады и бонусы</t>
        </is>
      </c>
      <c r="B13" s="11">
        <f>B11</f>
        <v>300000</v>
      </c>
      <c r="C13" s="11">
        <f>C11</f>
        <v>300000</v>
      </c>
      <c r="D13" s="11">
        <f>D11</f>
        <v>300000</v>
      </c>
      <c r="E13" s="11">
        <f>E11</f>
        <v>300000</v>
      </c>
      <c r="F13" s="11">
        <f>F11</f>
        <v>300000</v>
      </c>
      <c r="G13" s="11">
        <f>G11</f>
        <v>300000</v>
      </c>
      <c r="H13" s="11">
        <f>H11</f>
        <v>300000</v>
      </c>
      <c r="I13" s="11">
        <f>I11</f>
        <v>300000</v>
      </c>
      <c r="J13" s="11">
        <f>J11</f>
        <v>300000</v>
      </c>
      <c r="K13" s="11">
        <f>K11</f>
        <v>300000</v>
      </c>
      <c r="L13" s="11">
        <f>L11</f>
        <v>300000</v>
      </c>
      <c r="M13" s="11">
        <f>M11</f>
        <v>300000</v>
      </c>
      <c r="N13" s="11">
        <f>SUM(B13:M13)</f>
        <v>3600000</v>
      </c>
      <c r="O13" s="17" t="inlineStr">
        <is>
          <t xml:space="preserve">Команда</t>
        </is>
      </c>
    </row>
    <row r="14" ht="25" customHeight="1">
      <c r="A14" s="16" t="inlineStr">
        <is>
          <t xml:space="preserve">Начисления работодателя</t>
        </is>
      </c>
      <c r="B14" s="11">
        <f>B12</f>
        <v>45000</v>
      </c>
      <c r="C14" s="11">
        <f>C12</f>
        <v>45000</v>
      </c>
      <c r="D14" s="11">
        <f>D12</f>
        <v>45000</v>
      </c>
      <c r="E14" s="11">
        <f>E12</f>
        <v>45000</v>
      </c>
      <c r="F14" s="11">
        <f>F12</f>
        <v>45000</v>
      </c>
      <c r="G14" s="11">
        <f>G12</f>
        <v>45000</v>
      </c>
      <c r="H14" s="11">
        <f>H12</f>
        <v>45000</v>
      </c>
      <c r="I14" s="11">
        <f>I12</f>
        <v>45000</v>
      </c>
      <c r="J14" s="11">
        <f>J12</f>
        <v>45000</v>
      </c>
      <c r="K14" s="11">
        <f>K12</f>
        <v>45000</v>
      </c>
      <c r="L14" s="11">
        <f>L12</f>
        <v>45000</v>
      </c>
      <c r="M14" s="11">
        <f>M12</f>
        <v>45000</v>
      </c>
      <c r="N14" s="11">
        <f>SUM(B14:M14)</f>
        <v>540000</v>
      </c>
      <c r="O14" s="17" t="inlineStr">
        <is>
          <t xml:space="preserve">Команда</t>
        </is>
      </c>
    </row>
    <row r="15" ht="55" customHeight="1">
      <c r="A15" s="16" t="inlineStr">
        <is>
          <t xml:space="preserve">Команда — всего</t>
        </is>
      </c>
      <c r="B15" s="11">
        <f>(B13+B14)</f>
        <v>345000</v>
      </c>
      <c r="C15" s="11">
        <f>(C13+C14)</f>
        <v>345000</v>
      </c>
      <c r="D15" s="11">
        <f>(D13+D14)</f>
        <v>345000</v>
      </c>
      <c r="E15" s="11">
        <f>(E13+E14)</f>
        <v>345000</v>
      </c>
      <c r="F15" s="11">
        <f>(F13+F14)</f>
        <v>345000</v>
      </c>
      <c r="G15" s="11">
        <f>(G13+G14)</f>
        <v>345000</v>
      </c>
      <c r="H15" s="11">
        <f>(H13+H14)</f>
        <v>345000</v>
      </c>
      <c r="I15" s="11">
        <f>(I13+I14)</f>
        <v>345000</v>
      </c>
      <c r="J15" s="11">
        <f>(J13+J14)</f>
        <v>345000</v>
      </c>
      <c r="K15" s="11">
        <f>(K13+K14)</f>
        <v>345000</v>
      </c>
      <c r="L15" s="11">
        <f>(L13+L14)</f>
        <v>345000</v>
      </c>
      <c r="M15" s="11">
        <f>(M13+M14)</f>
        <v>345000</v>
      </c>
      <c r="N15" s="11">
        <f>SUM(B15:M15)</f>
        <v>4140000</v>
      </c>
      <c r="O15" s="17" t="inlineStr">
        <is>
          <t xml:space="preserve">Количество × (оклад + бонус) × рост × (1 + начисления). Ставки задаёте вы.</t>
        </is>
      </c>
    </row>
    <row r="16" ht="25" customHeight="1">
      <c r="A16" s="9" t="inlineStr">
        <is>
          <t xml:space="preserve">Реклама · затраты</t>
        </is>
      </c>
      <c r="B16" s="12">
        <f>IF(AND((1&gt;='Вводные'!$B$65),(1&lt;='Вводные'!$B$66)),(('Вводные'!$B$58*((1+('Вводные'!$B$60/100))^MAX(0,(1-'Вводные'!$B$65))))+(B8*('Вводные'!$B$59/100))),0)</f>
        <v>120000</v>
      </c>
      <c r="C16" s="12">
        <f>IF(AND((2&gt;='Вводные'!$B$65),(2&lt;='Вводные'!$B$66)),(('Вводные'!$B$58*((1+('Вводные'!$B$60/100))^MAX(0,(2-'Вводные'!$B$65))))+(C8*('Вводные'!$B$59/100))),0)</f>
        <v>120000</v>
      </c>
      <c r="D16" s="12">
        <f>IF(AND((3&gt;='Вводные'!$B$65),(3&lt;='Вводные'!$B$66)),(('Вводные'!$B$58*((1+('Вводные'!$B$60/100))^MAX(0,(3-'Вводные'!$B$65))))+(D8*('Вводные'!$B$59/100))),0)</f>
        <v>120000</v>
      </c>
      <c r="E16" s="12">
        <f>IF(AND((4&gt;='Вводные'!$B$65),(4&lt;='Вводные'!$B$66)),(('Вводные'!$B$58*((1+('Вводные'!$B$60/100))^MAX(0,(4-'Вводные'!$B$65))))+(E8*('Вводные'!$B$59/100))),0)</f>
        <v>120000</v>
      </c>
      <c r="F16" s="12">
        <f>IF(AND((5&gt;='Вводные'!$B$65),(5&lt;='Вводные'!$B$66)),(('Вводные'!$B$58*((1+('Вводные'!$B$60/100))^MAX(0,(5-'Вводные'!$B$65))))+(F8*('Вводные'!$B$59/100))),0)</f>
        <v>120000</v>
      </c>
      <c r="G16" s="12">
        <f>IF(AND((6&gt;='Вводные'!$B$65),(6&lt;='Вводные'!$B$66)),(('Вводные'!$B$58*((1+('Вводные'!$B$60/100))^MAX(0,(6-'Вводные'!$B$65))))+(G8*('Вводные'!$B$59/100))),0)</f>
        <v>120000</v>
      </c>
      <c r="H16" s="12">
        <f>IF(AND((7&gt;='Вводные'!$B$65),(7&lt;='Вводные'!$B$66)),(('Вводные'!$B$58*((1+('Вводные'!$B$60/100))^MAX(0,(7-'Вводные'!$B$65))))+(H8*('Вводные'!$B$59/100))),0)</f>
        <v>120000</v>
      </c>
      <c r="I16" s="12">
        <f>IF(AND((8&gt;='Вводные'!$B$65),(8&lt;='Вводные'!$B$66)),(('Вводные'!$B$58*((1+('Вводные'!$B$60/100))^MAX(0,(8-'Вводные'!$B$65))))+(I8*('Вводные'!$B$59/100))),0)</f>
        <v>120000</v>
      </c>
      <c r="J16" s="12">
        <f>IF(AND((9&gt;='Вводные'!$B$65),(9&lt;='Вводные'!$B$66)),(('Вводные'!$B$58*((1+('Вводные'!$B$60/100))^MAX(0,(9-'Вводные'!$B$65))))+(J8*('Вводные'!$B$59/100))),0)</f>
        <v>120000</v>
      </c>
      <c r="K16" s="12">
        <f>IF(AND((10&gt;='Вводные'!$B$65),(10&lt;='Вводные'!$B$66)),(('Вводные'!$B$58*((1+('Вводные'!$B$60/100))^MAX(0,(10-'Вводные'!$B$65))))+(K8*('Вводные'!$B$59/100))),0)</f>
        <v>120000</v>
      </c>
      <c r="L16" s="12">
        <f>IF(AND((11&gt;='Вводные'!$B$65),(11&lt;='Вводные'!$B$66)),(('Вводные'!$B$58*((1+('Вводные'!$B$60/100))^MAX(0,(11-'Вводные'!$B$65))))+(L8*('Вводные'!$B$59/100))),0)</f>
        <v>120000</v>
      </c>
      <c r="M16" s="12">
        <f>IF(AND((12&gt;='Вводные'!$B$65),(12&lt;='Вводные'!$B$66)),(('Вводные'!$B$58*((1+('Вводные'!$B$60/100))^MAX(0,(12-'Вводные'!$B$65))))+(M8*('Вводные'!$B$59/100))),0)</f>
        <v>120000</v>
      </c>
      <c r="N16" s="11">
        <f>SUM(B16:M16)</f>
        <v>1440000</v>
      </c>
      <c r="O16" s="9" t="inlineStr">
        <is>
          <t xml:space="preserve">Маркетинг</t>
        </is>
      </c>
    </row>
    <row r="17" ht="25" customHeight="1">
      <c r="A17" s="8" t="inlineStr">
        <is>
          <t xml:space="preserve">Реклама · клики</t>
        </is>
      </c>
      <c r="B17" s="10">
        <f>IF(('Вводные'!$B$61&gt;0),(B16/'Вводные'!$B$61),0)</f>
        <v>800</v>
      </c>
      <c r="C17" s="10">
        <f>IF(('Вводные'!$B$61&gt;0),(C16/'Вводные'!$B$61),0)</f>
        <v>800</v>
      </c>
      <c r="D17" s="10">
        <f>IF(('Вводные'!$B$61&gt;0),(D16/'Вводные'!$B$61),0)</f>
        <v>800</v>
      </c>
      <c r="E17" s="10">
        <f>IF(('Вводные'!$B$61&gt;0),(E16/'Вводные'!$B$61),0)</f>
        <v>800</v>
      </c>
      <c r="F17" s="10">
        <f>IF(('Вводные'!$B$61&gt;0),(F16/'Вводные'!$B$61),0)</f>
        <v>800</v>
      </c>
      <c r="G17" s="10">
        <f>IF(('Вводные'!$B$61&gt;0),(G16/'Вводные'!$B$61),0)</f>
        <v>800</v>
      </c>
      <c r="H17" s="10">
        <f>IF(('Вводные'!$B$61&gt;0),(H16/'Вводные'!$B$61),0)</f>
        <v>800</v>
      </c>
      <c r="I17" s="10">
        <f>IF(('Вводные'!$B$61&gt;0),(I16/'Вводные'!$B$61),0)</f>
        <v>800</v>
      </c>
      <c r="J17" s="10">
        <f>IF(('Вводные'!$B$61&gt;0),(J16/'Вводные'!$B$61),0)</f>
        <v>800</v>
      </c>
      <c r="K17" s="10">
        <f>IF(('Вводные'!$B$61&gt;0),(K16/'Вводные'!$B$61),0)</f>
        <v>800</v>
      </c>
      <c r="L17" s="10">
        <f>IF(('Вводные'!$B$61&gt;0),(L16/'Вводные'!$B$61),0)</f>
        <v>800</v>
      </c>
      <c r="M17" s="10">
        <f>IF(('Вводные'!$B$61&gt;0),(M16/'Вводные'!$B$61),0)</f>
        <v>800</v>
      </c>
      <c r="N17" s="11">
        <f>SUM(B17:M17)</f>
        <v>9600</v>
      </c>
      <c r="O17" s="8" t="inlineStr">
        <is>
          <t xml:space="preserve">Маркетинг</t>
        </is>
      </c>
    </row>
    <row r="18" ht="25" customHeight="1">
      <c r="A18" s="9" t="inlineStr">
        <is>
          <t xml:space="preserve">Реклама · заявки</t>
        </is>
      </c>
      <c r="B18" s="12">
        <f>(B17*('Вводные'!$B$62/100))</f>
        <v>80</v>
      </c>
      <c r="C18" s="12">
        <f>(C17*('Вводные'!$B$62/100))</f>
        <v>80</v>
      </c>
      <c r="D18" s="12">
        <f>(D17*('Вводные'!$B$62/100))</f>
        <v>80</v>
      </c>
      <c r="E18" s="12">
        <f>(E17*('Вводные'!$B$62/100))</f>
        <v>80</v>
      </c>
      <c r="F18" s="12">
        <f>(F17*('Вводные'!$B$62/100))</f>
        <v>80</v>
      </c>
      <c r="G18" s="12">
        <f>(G17*('Вводные'!$B$62/100))</f>
        <v>80</v>
      </c>
      <c r="H18" s="12">
        <f>(H17*('Вводные'!$B$62/100))</f>
        <v>80</v>
      </c>
      <c r="I18" s="12">
        <f>(I17*('Вводные'!$B$62/100))</f>
        <v>80</v>
      </c>
      <c r="J18" s="12">
        <f>(J17*('Вводные'!$B$62/100))</f>
        <v>80</v>
      </c>
      <c r="K18" s="12">
        <f>(K17*('Вводные'!$B$62/100))</f>
        <v>80</v>
      </c>
      <c r="L18" s="12">
        <f>(L17*('Вводные'!$B$62/100))</f>
        <v>80</v>
      </c>
      <c r="M18" s="12">
        <f>(M17*('Вводные'!$B$62/100))</f>
        <v>80</v>
      </c>
      <c r="N18" s="11">
        <f>SUM(B18:M18)</f>
        <v>960</v>
      </c>
      <c r="O18" s="9" t="inlineStr">
        <is>
          <t xml:space="preserve">Маркетинг</t>
        </is>
      </c>
    </row>
    <row r="19" ht="25" customHeight="1">
      <c r="A19" s="8" t="inlineStr">
        <is>
          <t xml:space="preserve">Реклама · клиенты</t>
        </is>
      </c>
      <c r="B19" s="10">
        <f>(B18*('Вводные'!$B$63/100))</f>
        <v>16</v>
      </c>
      <c r="C19" s="10">
        <f>(C18*('Вводные'!$B$63/100))</f>
        <v>16</v>
      </c>
      <c r="D19" s="10">
        <f>(D18*('Вводные'!$B$63/100))</f>
        <v>16</v>
      </c>
      <c r="E19" s="10">
        <f>(E18*('Вводные'!$B$63/100))</f>
        <v>16</v>
      </c>
      <c r="F19" s="10">
        <f>(F18*('Вводные'!$B$63/100))</f>
        <v>16</v>
      </c>
      <c r="G19" s="10">
        <f>(G18*('Вводные'!$B$63/100))</f>
        <v>16</v>
      </c>
      <c r="H19" s="10">
        <f>(H18*('Вводные'!$B$63/100))</f>
        <v>16</v>
      </c>
      <c r="I19" s="10">
        <f>(I18*('Вводные'!$B$63/100))</f>
        <v>16</v>
      </c>
      <c r="J19" s="10">
        <f>(J18*('Вводные'!$B$63/100))</f>
        <v>16</v>
      </c>
      <c r="K19" s="10">
        <f>(K18*('Вводные'!$B$63/100))</f>
        <v>16</v>
      </c>
      <c r="L19" s="10">
        <f>(L18*('Вводные'!$B$63/100))</f>
        <v>16</v>
      </c>
      <c r="M19" s="10">
        <f>(M18*('Вводные'!$B$63/100))</f>
        <v>16</v>
      </c>
      <c r="N19" s="11">
        <f>SUM(B19:M19)</f>
        <v>192</v>
      </c>
      <c r="O19" s="8" t="inlineStr">
        <is>
          <t xml:space="preserve">Маркетинг</t>
        </is>
      </c>
    </row>
    <row r="20" ht="25" customHeight="1">
      <c r="A20" s="9" t="inlineStr">
        <is>
          <t xml:space="preserve">Реклама · оценка выручки</t>
        </is>
      </c>
      <c r="B20" s="12">
        <f>(B19*'Вводные'!$B$64)</f>
        <v>136000</v>
      </c>
      <c r="C20" s="12">
        <f>(C19*'Вводные'!$B$64)</f>
        <v>136000</v>
      </c>
      <c r="D20" s="12">
        <f>(D19*'Вводные'!$B$64)</f>
        <v>136000</v>
      </c>
      <c r="E20" s="12">
        <f>(E19*'Вводные'!$B$64)</f>
        <v>136000</v>
      </c>
      <c r="F20" s="12">
        <f>(F19*'Вводные'!$B$64)</f>
        <v>136000</v>
      </c>
      <c r="G20" s="12">
        <f>(G19*'Вводные'!$B$64)</f>
        <v>136000</v>
      </c>
      <c r="H20" s="12">
        <f>(H19*'Вводные'!$B$64)</f>
        <v>136000</v>
      </c>
      <c r="I20" s="12">
        <f>(I19*'Вводные'!$B$64)</f>
        <v>136000</v>
      </c>
      <c r="J20" s="12">
        <f>(J19*'Вводные'!$B$64)</f>
        <v>136000</v>
      </c>
      <c r="K20" s="12">
        <f>(K19*'Вводные'!$B$64)</f>
        <v>136000</v>
      </c>
      <c r="L20" s="12">
        <f>(L19*'Вводные'!$B$64)</f>
        <v>136000</v>
      </c>
      <c r="M20" s="12">
        <f>(M19*'Вводные'!$B$64)</f>
        <v>136000</v>
      </c>
      <c r="N20" s="11">
        <f>SUM(B20:M20)</f>
        <v>1632000</v>
      </c>
      <c r="O20" s="9" t="inlineStr">
        <is>
          <t xml:space="preserve">Маркетинг</t>
        </is>
      </c>
    </row>
    <row r="21" ht="55" customHeight="1">
      <c r="A21" s="16" t="inlineStr">
        <is>
          <t xml:space="preserve">Маркетинг — всего</t>
        </is>
      </c>
      <c r="B21" s="11">
        <f>B16</f>
        <v>120000</v>
      </c>
      <c r="C21" s="11">
        <f>C16</f>
        <v>120000</v>
      </c>
      <c r="D21" s="11">
        <f>D16</f>
        <v>120000</v>
      </c>
      <c r="E21" s="11">
        <f>E16</f>
        <v>120000</v>
      </c>
      <c r="F21" s="11">
        <f>F16</f>
        <v>120000</v>
      </c>
      <c r="G21" s="11">
        <f>G16</f>
        <v>120000</v>
      </c>
      <c r="H21" s="11">
        <f>H16</f>
        <v>120000</v>
      </c>
      <c r="I21" s="11">
        <f>I16</f>
        <v>120000</v>
      </c>
      <c r="J21" s="11">
        <f>J16</f>
        <v>120000</v>
      </c>
      <c r="K21" s="11">
        <f>K16</f>
        <v>120000</v>
      </c>
      <c r="L21" s="11">
        <f>L16</f>
        <v>120000</v>
      </c>
      <c r="M21" s="11">
        <f>M16</f>
        <v>120000</v>
      </c>
      <c r="N21" s="11">
        <f>SUM(B21:M21)</f>
        <v>1440000</v>
      </c>
      <c r="O21" s="17" t="inlineStr">
        <is>
          <t xml:space="preserve">Бюджеты каналов + процент от выручки. Продажи из воронки уже должны входить в общий оборот.</t>
        </is>
      </c>
    </row>
    <row r="22" ht="25" customHeight="1">
      <c r="A22" s="16" t="inlineStr">
        <is>
          <t xml:space="preserve">Заявки из рекламы, шт.</t>
        </is>
      </c>
      <c r="B22" s="11">
        <f>B18</f>
        <v>80</v>
      </c>
      <c r="C22" s="11">
        <f>C18</f>
        <v>80</v>
      </c>
      <c r="D22" s="11">
        <f>D18</f>
        <v>80</v>
      </c>
      <c r="E22" s="11">
        <f>E18</f>
        <v>80</v>
      </c>
      <c r="F22" s="11">
        <f>F18</f>
        <v>80</v>
      </c>
      <c r="G22" s="11">
        <f>G18</f>
        <v>80</v>
      </c>
      <c r="H22" s="11">
        <f>H18</f>
        <v>80</v>
      </c>
      <c r="I22" s="11">
        <f>I18</f>
        <v>80</v>
      </c>
      <c r="J22" s="11">
        <f>J18</f>
        <v>80</v>
      </c>
      <c r="K22" s="11">
        <f>K18</f>
        <v>80</v>
      </c>
      <c r="L22" s="11">
        <f>L18</f>
        <v>80</v>
      </c>
      <c r="M22" s="11">
        <f>M18</f>
        <v>80</v>
      </c>
      <c r="N22" s="11">
        <f>SUM(B22:M22)</f>
        <v>960</v>
      </c>
      <c r="O22" s="17" t="inlineStr">
        <is>
          <t xml:space="preserve">Маркетинг</t>
        </is>
      </c>
    </row>
    <row r="23" ht="25" customHeight="1">
      <c r="A23" s="16" t="inlineStr">
        <is>
          <t xml:space="preserve">Клиенты из рекламы, шт.</t>
        </is>
      </c>
      <c r="B23" s="11">
        <f>B19</f>
        <v>16</v>
      </c>
      <c r="C23" s="11">
        <f>C19</f>
        <v>16</v>
      </c>
      <c r="D23" s="11">
        <f>D19</f>
        <v>16</v>
      </c>
      <c r="E23" s="11">
        <f>E19</f>
        <v>16</v>
      </c>
      <c r="F23" s="11">
        <f>F19</f>
        <v>16</v>
      </c>
      <c r="G23" s="11">
        <f>G19</f>
        <v>16</v>
      </c>
      <c r="H23" s="11">
        <f>H19</f>
        <v>16</v>
      </c>
      <c r="I23" s="11">
        <f>I19</f>
        <v>16</v>
      </c>
      <c r="J23" s="11">
        <f>J19</f>
        <v>16</v>
      </c>
      <c r="K23" s="11">
        <f>K19</f>
        <v>16</v>
      </c>
      <c r="L23" s="11">
        <f>L19</f>
        <v>16</v>
      </c>
      <c r="M23" s="11">
        <f>M19</f>
        <v>16</v>
      </c>
      <c r="N23" s="11">
        <f>SUM(B23:M23)</f>
        <v>192</v>
      </c>
      <c r="O23" s="17" t="inlineStr">
        <is>
          <t xml:space="preserve">Маркетинг</t>
        </is>
      </c>
    </row>
    <row r="24" ht="55" customHeight="1">
      <c r="A24" s="16" t="inlineStr">
        <is>
          <t xml:space="preserve">Оценка выручки из рекламы</t>
        </is>
      </c>
      <c r="B24" s="11">
        <f>B20</f>
        <v>136000</v>
      </c>
      <c r="C24" s="11">
        <f>C20</f>
        <v>136000</v>
      </c>
      <c r="D24" s="11">
        <f>D20</f>
        <v>136000</v>
      </c>
      <c r="E24" s="11">
        <f>E20</f>
        <v>136000</v>
      </c>
      <c r="F24" s="11">
        <f>F20</f>
        <v>136000</v>
      </c>
      <c r="G24" s="11">
        <f>G20</f>
        <v>136000</v>
      </c>
      <c r="H24" s="11">
        <f>H20</f>
        <v>136000</v>
      </c>
      <c r="I24" s="11">
        <f>I20</f>
        <v>136000</v>
      </c>
      <c r="J24" s="11">
        <f>J20</f>
        <v>136000</v>
      </c>
      <c r="K24" s="11">
        <f>K20</f>
        <v>136000</v>
      </c>
      <c r="L24" s="11">
        <f>L20</f>
        <v>136000</v>
      </c>
      <c r="M24" s="11">
        <f>M20</f>
        <v>136000</v>
      </c>
      <c r="N24" s="11">
        <f>SUM(B24:M24)</f>
        <v>1632000</v>
      </c>
      <c r="O24" s="17" t="inlineStr">
        <is>
          <t xml:space="preserve">Клиенты × чек каждого канала. Не прибавляется к обороту, чтобы не считать продажи дважды.</t>
        </is>
      </c>
    </row>
    <row r="25" ht="25" customHeight="1">
      <c r="A25" s="8" t="inlineStr">
        <is>
          <t xml:space="preserve">Аренда</t>
        </is>
      </c>
      <c r="B25" s="10">
        <f>IF(AND(AND((1&gt;='Вводные'!$B$71),(1&lt;='Вводные'!$B$72)),IF(('Вводные'!$B$68="once"),(1='Вводные'!$B$71),TRUE)),IF(('Вводные'!$B$68="percent"),(B8*('Вводные'!$B$69/100)),('Вводные'!$B$69*((1+('Вводные'!$B$70/100))^MAX(0,(1-'Вводные'!$B$71))))),0)</f>
        <v>250000</v>
      </c>
      <c r="C25" s="10">
        <f>IF(AND(AND((2&gt;='Вводные'!$B$71),(2&lt;='Вводные'!$B$72)),IF(('Вводные'!$B$68="once"),(2='Вводные'!$B$71),TRUE)),IF(('Вводные'!$B$68="percent"),(C8*('Вводные'!$B$69/100)),('Вводные'!$B$69*((1+('Вводные'!$B$70/100))^MAX(0,(2-'Вводные'!$B$71))))),0)</f>
        <v>250000</v>
      </c>
      <c r="D25" s="10">
        <f>IF(AND(AND((3&gt;='Вводные'!$B$71),(3&lt;='Вводные'!$B$72)),IF(('Вводные'!$B$68="once"),(3='Вводные'!$B$71),TRUE)),IF(('Вводные'!$B$68="percent"),(D8*('Вводные'!$B$69/100)),('Вводные'!$B$69*((1+('Вводные'!$B$70/100))^MAX(0,(3-'Вводные'!$B$71))))),0)</f>
        <v>250000</v>
      </c>
      <c r="E25" s="10">
        <f>IF(AND(AND((4&gt;='Вводные'!$B$71),(4&lt;='Вводные'!$B$72)),IF(('Вводные'!$B$68="once"),(4='Вводные'!$B$71),TRUE)),IF(('Вводные'!$B$68="percent"),(E8*('Вводные'!$B$69/100)),('Вводные'!$B$69*((1+('Вводные'!$B$70/100))^MAX(0,(4-'Вводные'!$B$71))))),0)</f>
        <v>250000</v>
      </c>
      <c r="F25" s="10">
        <f>IF(AND(AND((5&gt;='Вводные'!$B$71),(5&lt;='Вводные'!$B$72)),IF(('Вводные'!$B$68="once"),(5='Вводные'!$B$71),TRUE)),IF(('Вводные'!$B$68="percent"),(F8*('Вводные'!$B$69/100)),('Вводные'!$B$69*((1+('Вводные'!$B$70/100))^MAX(0,(5-'Вводные'!$B$71))))),0)</f>
        <v>250000</v>
      </c>
      <c r="G25" s="10">
        <f>IF(AND(AND((6&gt;='Вводные'!$B$71),(6&lt;='Вводные'!$B$72)),IF(('Вводные'!$B$68="once"),(6='Вводные'!$B$71),TRUE)),IF(('Вводные'!$B$68="percent"),(G8*('Вводные'!$B$69/100)),('Вводные'!$B$69*((1+('Вводные'!$B$70/100))^MAX(0,(6-'Вводные'!$B$71))))),0)</f>
        <v>250000</v>
      </c>
      <c r="H25" s="10">
        <f>IF(AND(AND((7&gt;='Вводные'!$B$71),(7&lt;='Вводные'!$B$72)),IF(('Вводные'!$B$68="once"),(7='Вводные'!$B$71),TRUE)),IF(('Вводные'!$B$68="percent"),(H8*('Вводные'!$B$69/100)),('Вводные'!$B$69*((1+('Вводные'!$B$70/100))^MAX(0,(7-'Вводные'!$B$71))))),0)</f>
        <v>250000</v>
      </c>
      <c r="I25" s="10">
        <f>IF(AND(AND((8&gt;='Вводные'!$B$71),(8&lt;='Вводные'!$B$72)),IF(('Вводные'!$B$68="once"),(8='Вводные'!$B$71),TRUE)),IF(('Вводные'!$B$68="percent"),(I8*('Вводные'!$B$69/100)),('Вводные'!$B$69*((1+('Вводные'!$B$70/100))^MAX(0,(8-'Вводные'!$B$71))))),0)</f>
        <v>250000</v>
      </c>
      <c r="J25" s="10">
        <f>IF(AND(AND((9&gt;='Вводные'!$B$71),(9&lt;='Вводные'!$B$72)),IF(('Вводные'!$B$68="once"),(9='Вводные'!$B$71),TRUE)),IF(('Вводные'!$B$68="percent"),(J8*('Вводные'!$B$69/100)),('Вводные'!$B$69*((1+('Вводные'!$B$70/100))^MAX(0,(9-'Вводные'!$B$71))))),0)</f>
        <v>250000</v>
      </c>
      <c r="K25" s="10">
        <f>IF(AND(AND((10&gt;='Вводные'!$B$71),(10&lt;='Вводные'!$B$72)),IF(('Вводные'!$B$68="once"),(10='Вводные'!$B$71),TRUE)),IF(('Вводные'!$B$68="percent"),(K8*('Вводные'!$B$69/100)),('Вводные'!$B$69*((1+('Вводные'!$B$70/100))^MAX(0,(10-'Вводные'!$B$71))))),0)</f>
        <v>250000</v>
      </c>
      <c r="L25" s="10">
        <f>IF(AND(AND((11&gt;='Вводные'!$B$71),(11&lt;='Вводные'!$B$72)),IF(('Вводные'!$B$68="once"),(11='Вводные'!$B$71),TRUE)),IF(('Вводные'!$B$68="percent"),(L8*('Вводные'!$B$69/100)),('Вводные'!$B$69*((1+('Вводные'!$B$70/100))^MAX(0,(11-'Вводные'!$B$71))))),0)</f>
        <v>250000</v>
      </c>
      <c r="M25" s="10">
        <f>IF(AND(AND((12&gt;='Вводные'!$B$71),(12&lt;='Вводные'!$B$72)),IF(('Вводные'!$B$68="once"),(12='Вводные'!$B$71),TRUE)),IF(('Вводные'!$B$68="percent"),(M8*('Вводные'!$B$69/100)),('Вводные'!$B$69*((1+('Вводные'!$B$70/100))^MAX(0,(12-'Вводные'!$B$71))))),0)</f>
        <v>250000</v>
      </c>
      <c r="N25" s="11">
        <f>SUM(B25:M25)</f>
        <v>3000000</v>
      </c>
      <c r="O25" s="8" t="inlineStr">
        <is>
          <t xml:space="preserve">Прочие расходы</t>
        </is>
      </c>
    </row>
    <row r="26" ht="25" customHeight="1">
      <c r="A26" s="9" t="inlineStr">
        <is>
          <t xml:space="preserve">Сервисы и связь</t>
        </is>
      </c>
      <c r="B26" s="12">
        <f>IF(AND(AND((1&gt;='Вводные'!$B$77),(1&lt;='Вводные'!$B$78)),IF(('Вводные'!$B$74="once"),(1='Вводные'!$B$77),TRUE)),IF(('Вводные'!$B$74="percent"),(B8*('Вводные'!$B$75/100)),('Вводные'!$B$75*((1+('Вводные'!$B$76/100))^MAX(0,(1-'Вводные'!$B$77))))),0)</f>
        <v>35000</v>
      </c>
      <c r="C26" s="12">
        <f>IF(AND(AND((2&gt;='Вводные'!$B$77),(2&lt;='Вводные'!$B$78)),IF(('Вводные'!$B$74="once"),(2='Вводные'!$B$77),TRUE)),IF(('Вводные'!$B$74="percent"),(C8*('Вводные'!$B$75/100)),('Вводные'!$B$75*((1+('Вводные'!$B$76/100))^MAX(0,(2-'Вводные'!$B$77))))),0)</f>
        <v>35000</v>
      </c>
      <c r="D26" s="12">
        <f>IF(AND(AND((3&gt;='Вводные'!$B$77),(3&lt;='Вводные'!$B$78)),IF(('Вводные'!$B$74="once"),(3='Вводные'!$B$77),TRUE)),IF(('Вводные'!$B$74="percent"),(D8*('Вводные'!$B$75/100)),('Вводные'!$B$75*((1+('Вводные'!$B$76/100))^MAX(0,(3-'Вводные'!$B$77))))),0)</f>
        <v>35000</v>
      </c>
      <c r="E26" s="12">
        <f>IF(AND(AND((4&gt;='Вводные'!$B$77),(4&lt;='Вводные'!$B$78)),IF(('Вводные'!$B$74="once"),(4='Вводные'!$B$77),TRUE)),IF(('Вводные'!$B$74="percent"),(E8*('Вводные'!$B$75/100)),('Вводные'!$B$75*((1+('Вводные'!$B$76/100))^MAX(0,(4-'Вводные'!$B$77))))),0)</f>
        <v>35000</v>
      </c>
      <c r="F26" s="12">
        <f>IF(AND(AND((5&gt;='Вводные'!$B$77),(5&lt;='Вводные'!$B$78)),IF(('Вводные'!$B$74="once"),(5='Вводные'!$B$77),TRUE)),IF(('Вводные'!$B$74="percent"),(F8*('Вводные'!$B$75/100)),('Вводные'!$B$75*((1+('Вводные'!$B$76/100))^MAX(0,(5-'Вводные'!$B$77))))),0)</f>
        <v>35000</v>
      </c>
      <c r="G26" s="12">
        <f>IF(AND(AND((6&gt;='Вводные'!$B$77),(6&lt;='Вводные'!$B$78)),IF(('Вводные'!$B$74="once"),(6='Вводные'!$B$77),TRUE)),IF(('Вводные'!$B$74="percent"),(G8*('Вводные'!$B$75/100)),('Вводные'!$B$75*((1+('Вводные'!$B$76/100))^MAX(0,(6-'Вводные'!$B$77))))),0)</f>
        <v>35000</v>
      </c>
      <c r="H26" s="12">
        <f>IF(AND(AND((7&gt;='Вводные'!$B$77),(7&lt;='Вводные'!$B$78)),IF(('Вводные'!$B$74="once"),(7='Вводные'!$B$77),TRUE)),IF(('Вводные'!$B$74="percent"),(H8*('Вводные'!$B$75/100)),('Вводные'!$B$75*((1+('Вводные'!$B$76/100))^MAX(0,(7-'Вводные'!$B$77))))),0)</f>
        <v>35000</v>
      </c>
      <c r="I26" s="12">
        <f>IF(AND(AND((8&gt;='Вводные'!$B$77),(8&lt;='Вводные'!$B$78)),IF(('Вводные'!$B$74="once"),(8='Вводные'!$B$77),TRUE)),IF(('Вводные'!$B$74="percent"),(I8*('Вводные'!$B$75/100)),('Вводные'!$B$75*((1+('Вводные'!$B$76/100))^MAX(0,(8-'Вводные'!$B$77))))),0)</f>
        <v>35000</v>
      </c>
      <c r="J26" s="12">
        <f>IF(AND(AND((9&gt;='Вводные'!$B$77),(9&lt;='Вводные'!$B$78)),IF(('Вводные'!$B$74="once"),(9='Вводные'!$B$77),TRUE)),IF(('Вводные'!$B$74="percent"),(J8*('Вводные'!$B$75/100)),('Вводные'!$B$75*((1+('Вводные'!$B$76/100))^MAX(0,(9-'Вводные'!$B$77))))),0)</f>
        <v>35000</v>
      </c>
      <c r="K26" s="12">
        <f>IF(AND(AND((10&gt;='Вводные'!$B$77),(10&lt;='Вводные'!$B$78)),IF(('Вводные'!$B$74="once"),(10='Вводные'!$B$77),TRUE)),IF(('Вводные'!$B$74="percent"),(K8*('Вводные'!$B$75/100)),('Вводные'!$B$75*((1+('Вводные'!$B$76/100))^MAX(0,(10-'Вводные'!$B$77))))),0)</f>
        <v>35000</v>
      </c>
      <c r="L26" s="12">
        <f>IF(AND(AND((11&gt;='Вводные'!$B$77),(11&lt;='Вводные'!$B$78)),IF(('Вводные'!$B$74="once"),(11='Вводные'!$B$77),TRUE)),IF(('Вводные'!$B$74="percent"),(L8*('Вводные'!$B$75/100)),('Вводные'!$B$75*((1+('Вводные'!$B$76/100))^MAX(0,(11-'Вводные'!$B$77))))),0)</f>
        <v>35000</v>
      </c>
      <c r="M26" s="12">
        <f>IF(AND(AND((12&gt;='Вводные'!$B$77),(12&lt;='Вводные'!$B$78)),IF(('Вводные'!$B$74="once"),(12='Вводные'!$B$77),TRUE)),IF(('Вводные'!$B$74="percent"),(M8*('Вводные'!$B$75/100)),('Вводные'!$B$75*((1+('Вводные'!$B$76/100))^MAX(0,(12-'Вводные'!$B$77))))),0)</f>
        <v>35000</v>
      </c>
      <c r="N26" s="11">
        <f>SUM(B26:M26)</f>
        <v>420000</v>
      </c>
      <c r="O26" s="9" t="inlineStr">
        <is>
          <t xml:space="preserve">Прочие расходы</t>
        </is>
      </c>
    </row>
    <row r="27" ht="25" customHeight="1">
      <c r="A27" s="8" t="inlineStr">
        <is>
          <t xml:space="preserve">Новая статья</t>
        </is>
      </c>
      <c r="B27" s="10">
        <f>IF(AND(AND((1&gt;='Вводные'!$B$83),(1&lt;='Вводные'!$B$84)),IF(('Вводные'!$B$80="once"),(1='Вводные'!$B$83),TRUE)),IF(('Вводные'!$B$80="percent"),(B8*('Вводные'!$B$81/100)),('Вводные'!$B$81*((1+('Вводные'!$B$82/100))^MAX(0,(1-'Вводные'!$B$83))))),0)</f>
        <v>0</v>
      </c>
      <c r="C27" s="10">
        <f>IF(AND(AND((2&gt;='Вводные'!$B$83),(2&lt;='Вводные'!$B$84)),IF(('Вводные'!$B$80="once"),(2='Вводные'!$B$83),TRUE)),IF(('Вводные'!$B$80="percent"),(C8*('Вводные'!$B$81/100)),('Вводные'!$B$81*((1+('Вводные'!$B$82/100))^MAX(0,(2-'Вводные'!$B$83))))),0)</f>
        <v>0</v>
      </c>
      <c r="D27" s="10">
        <f>IF(AND(AND((3&gt;='Вводные'!$B$83),(3&lt;='Вводные'!$B$84)),IF(('Вводные'!$B$80="once"),(3='Вводные'!$B$83),TRUE)),IF(('Вводные'!$B$80="percent"),(D8*('Вводные'!$B$81/100)),('Вводные'!$B$81*((1+('Вводные'!$B$82/100))^MAX(0,(3-'Вводные'!$B$83))))),0)</f>
        <v>0</v>
      </c>
      <c r="E27" s="10">
        <f>IF(AND(AND((4&gt;='Вводные'!$B$83),(4&lt;='Вводные'!$B$84)),IF(('Вводные'!$B$80="once"),(4='Вводные'!$B$83),TRUE)),IF(('Вводные'!$B$80="percent"),(E8*('Вводные'!$B$81/100)),('Вводные'!$B$81*((1+('Вводные'!$B$82/100))^MAX(0,(4-'Вводные'!$B$83))))),0)</f>
        <v>0</v>
      </c>
      <c r="F27" s="10">
        <f>IF(AND(AND((5&gt;='Вводные'!$B$83),(5&lt;='Вводные'!$B$84)),IF(('Вводные'!$B$80="once"),(5='Вводные'!$B$83),TRUE)),IF(('Вводные'!$B$80="percent"),(F8*('Вводные'!$B$81/100)),('Вводные'!$B$81*((1+('Вводные'!$B$82/100))^MAX(0,(5-'Вводные'!$B$83))))),0)</f>
        <v>0</v>
      </c>
      <c r="G27" s="10">
        <f>IF(AND(AND((6&gt;='Вводные'!$B$83),(6&lt;='Вводные'!$B$84)),IF(('Вводные'!$B$80="once"),(6='Вводные'!$B$83),TRUE)),IF(('Вводные'!$B$80="percent"),(G8*('Вводные'!$B$81/100)),('Вводные'!$B$81*((1+('Вводные'!$B$82/100))^MAX(0,(6-'Вводные'!$B$83))))),0)</f>
        <v>0</v>
      </c>
      <c r="H27" s="10">
        <f>IF(AND(AND((7&gt;='Вводные'!$B$83),(7&lt;='Вводные'!$B$84)),IF(('Вводные'!$B$80="once"),(7='Вводные'!$B$83),TRUE)),IF(('Вводные'!$B$80="percent"),(H8*('Вводные'!$B$81/100)),('Вводные'!$B$81*((1+('Вводные'!$B$82/100))^MAX(0,(7-'Вводные'!$B$83))))),0)</f>
        <v>0</v>
      </c>
      <c r="I27" s="10">
        <f>IF(AND(AND((8&gt;='Вводные'!$B$83),(8&lt;='Вводные'!$B$84)),IF(('Вводные'!$B$80="once"),(8='Вводные'!$B$83),TRUE)),IF(('Вводные'!$B$80="percent"),(I8*('Вводные'!$B$81/100)),('Вводные'!$B$81*((1+('Вводные'!$B$82/100))^MAX(0,(8-'Вводные'!$B$83))))),0)</f>
        <v>0</v>
      </c>
      <c r="J27" s="10">
        <f>IF(AND(AND((9&gt;='Вводные'!$B$83),(9&lt;='Вводные'!$B$84)),IF(('Вводные'!$B$80="once"),(9='Вводные'!$B$83),TRUE)),IF(('Вводные'!$B$80="percent"),(J8*('Вводные'!$B$81/100)),('Вводные'!$B$81*((1+('Вводные'!$B$82/100))^MAX(0,(9-'Вводные'!$B$83))))),0)</f>
        <v>0</v>
      </c>
      <c r="K27" s="10">
        <f>IF(AND(AND((10&gt;='Вводные'!$B$83),(10&lt;='Вводные'!$B$84)),IF(('Вводные'!$B$80="once"),(10='Вводные'!$B$83),TRUE)),IF(('Вводные'!$B$80="percent"),(K8*('Вводные'!$B$81/100)),('Вводные'!$B$81*((1+('Вводные'!$B$82/100))^MAX(0,(10-'Вводные'!$B$83))))),0)</f>
        <v>0</v>
      </c>
      <c r="L27" s="10">
        <f>IF(AND(AND((11&gt;='Вводные'!$B$83),(11&lt;='Вводные'!$B$84)),IF(('Вводные'!$B$80="once"),(11='Вводные'!$B$83),TRUE)),IF(('Вводные'!$B$80="percent"),(L8*('Вводные'!$B$81/100)),('Вводные'!$B$81*((1+('Вводные'!$B$82/100))^MAX(0,(11-'Вводные'!$B$83))))),0)</f>
        <v>0</v>
      </c>
      <c r="M27" s="10">
        <f>IF(AND(AND((12&gt;='Вводные'!$B$83),(12&lt;='Вводные'!$B$84)),IF(('Вводные'!$B$80="once"),(12='Вводные'!$B$83),TRUE)),IF(('Вводные'!$B$80="percent"),(M8*('Вводные'!$B$81/100)),('Вводные'!$B$81*((1+('Вводные'!$B$82/100))^MAX(0,(12-'Вводные'!$B$83))))),0)</f>
        <v>0</v>
      </c>
      <c r="N27" s="11">
        <f>SUM(B27:M27)</f>
        <v>0</v>
      </c>
      <c r="O27" s="8" t="inlineStr">
        <is>
          <t xml:space="preserve">Прочие расходы</t>
        </is>
      </c>
    </row>
    <row r="28" ht="25" customHeight="1">
      <c r="A28" s="16" t="inlineStr">
        <is>
          <t xml:space="preserve">Прочие расходы — всего</t>
        </is>
      </c>
      <c r="B28" s="11">
        <f>((B25+B26)+B27)</f>
        <v>285000</v>
      </c>
      <c r="C28" s="11">
        <f>((C25+C26)+C27)</f>
        <v>285000</v>
      </c>
      <c r="D28" s="11">
        <f>((D25+D26)+D27)</f>
        <v>285000</v>
      </c>
      <c r="E28" s="11">
        <f>((E25+E26)+E27)</f>
        <v>285000</v>
      </c>
      <c r="F28" s="11">
        <f>((F25+F26)+F27)</f>
        <v>285000</v>
      </c>
      <c r="G28" s="11">
        <f>((G25+G26)+G27)</f>
        <v>285000</v>
      </c>
      <c r="H28" s="11">
        <f>((H25+H26)+H27)</f>
        <v>285000</v>
      </c>
      <c r="I28" s="11">
        <f>((I25+I26)+I27)</f>
        <v>285000</v>
      </c>
      <c r="J28" s="11">
        <f>((J25+J26)+J27)</f>
        <v>285000</v>
      </c>
      <c r="K28" s="11">
        <f>((K25+K26)+K27)</f>
        <v>285000</v>
      </c>
      <c r="L28" s="11">
        <f>((L25+L26)+L27)</f>
        <v>285000</v>
      </c>
      <c r="M28" s="11">
        <f>((M25+M26)+M27)</f>
        <v>285000</v>
      </c>
      <c r="N28" s="11">
        <f>SUM(B28:M28)</f>
        <v>3420000</v>
      </c>
      <c r="O28" s="17" t="inlineStr">
        <is>
          <t xml:space="preserve">Результат</t>
        </is>
      </c>
    </row>
    <row r="29" ht="55" customHeight="1">
      <c r="A29" s="16" t="inlineStr">
        <is>
          <t xml:space="preserve">Операционные расходы</t>
        </is>
      </c>
      <c r="B29" s="11">
        <f>((B15+B21)+B28)</f>
        <v>750000</v>
      </c>
      <c r="C29" s="11">
        <f>((C15+C21)+C28)</f>
        <v>750000</v>
      </c>
      <c r="D29" s="11">
        <f>((D15+D21)+D28)</f>
        <v>750000</v>
      </c>
      <c r="E29" s="11">
        <f>((E15+E21)+E28)</f>
        <v>750000</v>
      </c>
      <c r="F29" s="11">
        <f>((F15+F21)+F28)</f>
        <v>750000</v>
      </c>
      <c r="G29" s="11">
        <f>((G15+G21)+G28)</f>
        <v>750000</v>
      </c>
      <c r="H29" s="11">
        <f>((H15+H21)+H28)</f>
        <v>750000</v>
      </c>
      <c r="I29" s="11">
        <f>((I15+I21)+I28)</f>
        <v>750000</v>
      </c>
      <c r="J29" s="11">
        <f>((J15+J21)+J28)</f>
        <v>750000</v>
      </c>
      <c r="K29" s="11">
        <f>((K15+K21)+K28)</f>
        <v>750000</v>
      </c>
      <c r="L29" s="11">
        <f>((L15+L21)+L28)</f>
        <v>750000</v>
      </c>
      <c r="M29" s="11">
        <f>((M15+M21)+M28)</f>
        <v>750000</v>
      </c>
      <c r="N29" s="11">
        <f>SUM(B29:M29)</f>
        <v>9000000</v>
      </c>
      <c r="O29" s="17" t="inlineStr">
        <is>
          <t xml:space="preserve">Команда + маркетинг + прочие расходы.</t>
        </is>
      </c>
    </row>
    <row r="30" ht="55" customHeight="1">
      <c r="A30" s="16" t="inlineStr">
        <is>
          <t xml:space="preserve">EBITDA</t>
        </is>
      </c>
      <c r="B30" s="11">
        <f>(B10-B29)</f>
        <v>907500</v>
      </c>
      <c r="C30" s="11">
        <f>(C10-C29)</f>
        <v>973800</v>
      </c>
      <c r="D30" s="11">
        <f>(D10-D29)</f>
        <v>1042752</v>
      </c>
      <c r="E30" s="11">
        <f>(E10-E29)</f>
        <v>1114462.08</v>
      </c>
      <c r="F30" s="11">
        <f>(F10-F29)</f>
        <v>1189040.5632000002</v>
      </c>
      <c r="G30" s="11">
        <f>(G10-G29)</f>
        <v>1266602.185728</v>
      </c>
      <c r="H30" s="11">
        <f>(H10-H29)</f>
        <v>1347266.2731571207</v>
      </c>
      <c r="I30" s="11">
        <f>(I10-I29)</f>
        <v>1431156.9240834052</v>
      </c>
      <c r="J30" s="11">
        <f>(J10-J29)</f>
        <v>1518403.2010467416</v>
      </c>
      <c r="K30" s="11">
        <f>(K10-K29)</f>
        <v>1609139.3290886115</v>
      </c>
      <c r="L30" s="11">
        <f>(L10-L29)</f>
        <v>1703504.9022521563</v>
      </c>
      <c r="M30" s="11">
        <f>(M10-M29)</f>
        <v>1801645.0983422427</v>
      </c>
      <c r="N30" s="11">
        <f>SUM(B30:M30)</f>
        <v>15905272.556898277</v>
      </c>
      <c r="O30" s="17" t="inlineStr">
        <is>
          <t xml:space="preserve">Валовая прибыль − операционные расходы; до амортизации, процентов и налога.</t>
        </is>
      </c>
    </row>
    <row r="31" ht="25" customHeight="1">
      <c r="A31" s="16" t="inlineStr">
        <is>
          <t xml:space="preserve">Покупка активов</t>
        </is>
      </c>
      <c r="B31" s="11">
        <f>0</f>
        <v>0</v>
      </c>
      <c r="C31" s="11">
        <f>0</f>
        <v>0</v>
      </c>
      <c r="D31" s="11">
        <f>0</f>
        <v>0</v>
      </c>
      <c r="E31" s="11">
        <f>0</f>
        <v>0</v>
      </c>
      <c r="F31" s="11">
        <f>0</f>
        <v>0</v>
      </c>
      <c r="G31" s="11">
        <f>0</f>
        <v>0</v>
      </c>
      <c r="H31" s="11">
        <f>0</f>
        <v>0</v>
      </c>
      <c r="I31" s="11">
        <f>0</f>
        <v>0</v>
      </c>
      <c r="J31" s="11">
        <f>0</f>
        <v>0</v>
      </c>
      <c r="K31" s="11">
        <f>0</f>
        <v>0</v>
      </c>
      <c r="L31" s="11">
        <f>0</f>
        <v>0</v>
      </c>
      <c r="M31" s="11">
        <f>0</f>
        <v>0</v>
      </c>
      <c r="N31" s="11">
        <f>SUM(B31:M31)</f>
        <v>0</v>
      </c>
      <c r="O31" s="17" t="inlineStr">
        <is>
          <t xml:space="preserve">Денежный поток</t>
        </is>
      </c>
    </row>
    <row r="32" ht="55" customHeight="1">
      <c r="A32" s="16" t="inlineStr">
        <is>
          <t xml:space="preserve">Амортизация</t>
        </is>
      </c>
      <c r="B32" s="11">
        <f>(IF(AND(('Вводные'!$B$13&gt;0),(1&lt;='Вводные'!$B$13)),('Вводные'!$B$12/MAX(1,'Вводные'!$B$13)),0)+0)</f>
        <v>83333.33333333333</v>
      </c>
      <c r="C32" s="11">
        <f>(IF(AND(('Вводные'!$B$13&gt;0),(2&lt;='Вводные'!$B$13)),('Вводные'!$B$12/MAX(1,'Вводные'!$B$13)),0)+0)</f>
        <v>83333.33333333333</v>
      </c>
      <c r="D32" s="11">
        <f>(IF(AND(('Вводные'!$B$13&gt;0),(3&lt;='Вводные'!$B$13)),('Вводные'!$B$12/MAX(1,'Вводные'!$B$13)),0)+0)</f>
        <v>83333.33333333333</v>
      </c>
      <c r="E32" s="11">
        <f>(IF(AND(('Вводные'!$B$13&gt;0),(4&lt;='Вводные'!$B$13)),('Вводные'!$B$12/MAX(1,'Вводные'!$B$13)),0)+0)</f>
        <v>83333.33333333333</v>
      </c>
      <c r="F32" s="11">
        <f>(IF(AND(('Вводные'!$B$13&gt;0),(5&lt;='Вводные'!$B$13)),('Вводные'!$B$12/MAX(1,'Вводные'!$B$13)),0)+0)</f>
        <v>83333.33333333333</v>
      </c>
      <c r="G32" s="11">
        <f>(IF(AND(('Вводные'!$B$13&gt;0),(6&lt;='Вводные'!$B$13)),('Вводные'!$B$12/MAX(1,'Вводные'!$B$13)),0)+0)</f>
        <v>83333.33333333333</v>
      </c>
      <c r="H32" s="11">
        <f>(IF(AND(('Вводные'!$B$13&gt;0),(7&lt;='Вводные'!$B$13)),('Вводные'!$B$12/MAX(1,'Вводные'!$B$13)),0)+0)</f>
        <v>83333.33333333333</v>
      </c>
      <c r="I32" s="11">
        <f>(IF(AND(('Вводные'!$B$13&gt;0),(8&lt;='Вводные'!$B$13)),('Вводные'!$B$12/MAX(1,'Вводные'!$B$13)),0)+0)</f>
        <v>83333.33333333333</v>
      </c>
      <c r="J32" s="11">
        <f>(IF(AND(('Вводные'!$B$13&gt;0),(9&lt;='Вводные'!$B$13)),('Вводные'!$B$12/MAX(1,'Вводные'!$B$13)),0)+0)</f>
        <v>83333.33333333333</v>
      </c>
      <c r="K32" s="11">
        <f>(IF(AND(('Вводные'!$B$13&gt;0),(10&lt;='Вводные'!$B$13)),('Вводные'!$B$12/MAX(1,'Вводные'!$B$13)),0)+0)</f>
        <v>83333.33333333333</v>
      </c>
      <c r="L32" s="11">
        <f>(IF(AND(('Вводные'!$B$13&gt;0),(11&lt;='Вводные'!$B$13)),('Вводные'!$B$12/MAX(1,'Вводные'!$B$13)),0)+0)</f>
        <v>83333.33333333333</v>
      </c>
      <c r="M32" s="11">
        <f>(IF(AND(('Вводные'!$B$13&gt;0),(12&lt;='Вводные'!$B$13)),('Вводные'!$B$12/MAX(1,'Вводные'!$B$13)),0)+0)</f>
        <v>83333.33333333333</v>
      </c>
      <c r="N32" s="11">
        <f>SUM(B32:M32)</f>
        <v>1000000.0000000001</v>
      </c>
      <c r="O32" s="17" t="inlineStr">
        <is>
          <t xml:space="preserve">Стоимость / срок в месяцах, начиная с месяца покупки. Покупка уменьшает деньги, амортизация — прибыль.</t>
        </is>
      </c>
    </row>
    <row r="33" ht="25" customHeight="1">
      <c r="A33" s="16" t="inlineStr">
        <is>
          <t xml:space="preserve">Операционная прибыль (EBIT)</t>
        </is>
      </c>
      <c r="B33" s="11">
        <f>(B30-B32)</f>
        <v>824166.6666666666</v>
      </c>
      <c r="C33" s="11">
        <f>(C30-C32)</f>
        <v>890466.6666666666</v>
      </c>
      <c r="D33" s="11">
        <f>(D30-D32)</f>
        <v>959418.6666666666</v>
      </c>
      <c r="E33" s="11">
        <f>(E30-E32)</f>
        <v>1031128.7466666667</v>
      </c>
      <c r="F33" s="11">
        <f>(F30-F32)</f>
        <v>1105707.229866667</v>
      </c>
      <c r="G33" s="11">
        <f>(G30-G32)</f>
        <v>1183268.8523946668</v>
      </c>
      <c r="H33" s="11">
        <f>(H30-H32)</f>
        <v>1263932.9398237874</v>
      </c>
      <c r="I33" s="11">
        <f>(I30-I32)</f>
        <v>1347823.590750072</v>
      </c>
      <c r="J33" s="11">
        <f>(J30-J32)</f>
        <v>1435069.8677134083</v>
      </c>
      <c r="K33" s="11">
        <f>(K30-K32)</f>
        <v>1525805.9957552783</v>
      </c>
      <c r="L33" s="11">
        <f>(L30-L32)</f>
        <v>1620171.568918823</v>
      </c>
      <c r="M33" s="11">
        <f>(M30-M32)</f>
        <v>1718311.7650089094</v>
      </c>
      <c r="N33" s="11">
        <f>SUM(B33:M33)</f>
        <v>14905272.556898277</v>
      </c>
      <c r="O33" s="17" t="inlineStr">
        <is>
          <t xml:space="preserve">Результат</t>
        </is>
      </c>
    </row>
    <row r="34" ht="25" customHeight="1">
      <c r="A34" s="16" t="inlineStr">
        <is>
          <t xml:space="preserve">Кредит на начало месяца</t>
        </is>
      </c>
      <c r="B34" s="11">
        <f>IF((1&lt;='Вводные'!$B$16),MAX(0,IF(((('Вводные'!$B$15/100)/12)&gt;0),(('Вводные'!$B$14*((1+(('Вводные'!$B$15/100)/12))^0))-(IF(((('Вводные'!$B$15/100)/12)&gt;0),(('Вводные'!$B$14*(('Вводные'!$B$15/100)/12))/(1-((1+(('Вводные'!$B$15/100)/12))^(-1*'Вводные'!$B$16)))),('Вводные'!$B$14/'Вводные'!$B$16))*((((1+(('Вводные'!$B$15/100)/12))^0)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0)))),0)</f>
        <v>0</v>
      </c>
      <c r="C34" s="11">
        <f>IF((2&lt;='Вводные'!$B$16),MAX(0,IF(((('Вводные'!$B$15/100)/12)&gt;0),(('Вводные'!$B$14*((1+(('Вводные'!$B$15/100)/12))^1))-(IF(((('Вводные'!$B$15/100)/12)&gt;0),(('Вводные'!$B$14*(('Вводные'!$B$15/100)/12))/(1-((1+(('Вводные'!$B$15/100)/12))^(-1*'Вводные'!$B$16)))),('Вводные'!$B$14/'Вводные'!$B$16))*((((1+(('Вводные'!$B$15/100)/12))^1)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1)))),0)</f>
        <v>0</v>
      </c>
      <c r="D34" s="11">
        <f>IF((3&lt;='Вводные'!$B$16),MAX(0,IF(((('Вводные'!$B$15/100)/12)&gt;0),(('Вводные'!$B$14*((1+(('Вводные'!$B$15/100)/12))^2))-(IF(((('Вводные'!$B$15/100)/12)&gt;0),(('Вводные'!$B$14*(('Вводные'!$B$15/100)/12))/(1-((1+(('Вводные'!$B$15/100)/12))^(-1*'Вводные'!$B$16)))),('Вводные'!$B$14/'Вводные'!$B$16))*((((1+(('Вводные'!$B$15/100)/12))^2)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2)))),0)</f>
        <v>0</v>
      </c>
      <c r="E34" s="11">
        <f>IF((4&lt;='Вводные'!$B$16),MAX(0,IF(((('Вводные'!$B$15/100)/12)&gt;0),(('Вводные'!$B$14*((1+(('Вводные'!$B$15/100)/12))^3))-(IF(((('Вводные'!$B$15/100)/12)&gt;0),(('Вводные'!$B$14*(('Вводные'!$B$15/100)/12))/(1-((1+(('Вводные'!$B$15/100)/12))^(-1*'Вводные'!$B$16)))),('Вводные'!$B$14/'Вводные'!$B$16))*((((1+(('Вводные'!$B$15/100)/12))^3)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3)))),0)</f>
        <v>0</v>
      </c>
      <c r="F34" s="11">
        <f>IF((5&lt;='Вводные'!$B$16),MAX(0,IF(((('Вводные'!$B$15/100)/12)&gt;0),(('Вводные'!$B$14*((1+(('Вводные'!$B$15/100)/12))^4))-(IF(((('Вводные'!$B$15/100)/12)&gt;0),(('Вводные'!$B$14*(('Вводные'!$B$15/100)/12))/(1-((1+(('Вводные'!$B$15/100)/12))^(-1*'Вводные'!$B$16)))),('Вводные'!$B$14/'Вводные'!$B$16))*((((1+(('Вводные'!$B$15/100)/12))^4)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4)))),0)</f>
        <v>0</v>
      </c>
      <c r="G34" s="11">
        <f>IF((6&lt;='Вводные'!$B$16),MAX(0,IF(((('Вводные'!$B$15/100)/12)&gt;0),(('Вводные'!$B$14*((1+(('Вводные'!$B$15/100)/12))^5))-(IF(((('Вводные'!$B$15/100)/12)&gt;0),(('Вводные'!$B$14*(('Вводные'!$B$15/100)/12))/(1-((1+(('Вводные'!$B$15/100)/12))^(-1*'Вводные'!$B$16)))),('Вводные'!$B$14/'Вводные'!$B$16))*((((1+(('Вводные'!$B$15/100)/12))^5)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5)))),0)</f>
        <v>0</v>
      </c>
      <c r="H34" s="11">
        <f>IF((7&lt;='Вводные'!$B$16),MAX(0,IF(((('Вводные'!$B$15/100)/12)&gt;0),(('Вводные'!$B$14*((1+(('Вводные'!$B$15/100)/12))^6))-(IF(((('Вводные'!$B$15/100)/12)&gt;0),(('Вводные'!$B$14*(('Вводные'!$B$15/100)/12))/(1-((1+(('Вводные'!$B$15/100)/12))^(-1*'Вводные'!$B$16)))),('Вводные'!$B$14/'Вводные'!$B$16))*((((1+(('Вводные'!$B$15/100)/12))^6)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6)))),0)</f>
        <v>0</v>
      </c>
      <c r="I34" s="11">
        <f>IF((8&lt;='Вводные'!$B$16),MAX(0,IF(((('Вводные'!$B$15/100)/12)&gt;0),(('Вводные'!$B$14*((1+(('Вводные'!$B$15/100)/12))^7))-(IF(((('Вводные'!$B$15/100)/12)&gt;0),(('Вводные'!$B$14*(('Вводные'!$B$15/100)/12))/(1-((1+(('Вводные'!$B$15/100)/12))^(-1*'Вводные'!$B$16)))),('Вводные'!$B$14/'Вводные'!$B$16))*((((1+(('Вводные'!$B$15/100)/12))^7)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7)))),0)</f>
        <v>0</v>
      </c>
      <c r="J34" s="11">
        <f>IF((9&lt;='Вводные'!$B$16),MAX(0,IF(((('Вводные'!$B$15/100)/12)&gt;0),(('Вводные'!$B$14*((1+(('Вводные'!$B$15/100)/12))^8))-(IF(((('Вводные'!$B$15/100)/12)&gt;0),(('Вводные'!$B$14*(('Вводные'!$B$15/100)/12))/(1-((1+(('Вводные'!$B$15/100)/12))^(-1*'Вводные'!$B$16)))),('Вводные'!$B$14/'Вводные'!$B$16))*((((1+(('Вводные'!$B$15/100)/12))^8)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8)))),0)</f>
        <v>0</v>
      </c>
      <c r="K34" s="11">
        <f>IF((10&lt;='Вводные'!$B$16),MAX(0,IF(((('Вводные'!$B$15/100)/12)&gt;0),(('Вводные'!$B$14*((1+(('Вводные'!$B$15/100)/12))^9))-(IF(((('Вводные'!$B$15/100)/12)&gt;0),(('Вводные'!$B$14*(('Вводные'!$B$15/100)/12))/(1-((1+(('Вводные'!$B$15/100)/12))^(-1*'Вводные'!$B$16)))),('Вводные'!$B$14/'Вводные'!$B$16))*((((1+(('Вводные'!$B$15/100)/12))^9)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9)))),0)</f>
        <v>0</v>
      </c>
      <c r="L34" s="11">
        <f>IF((11&lt;='Вводные'!$B$16),MAX(0,IF(((('Вводные'!$B$15/100)/12)&gt;0),(('Вводные'!$B$14*((1+(('Вводные'!$B$15/100)/12))^10))-(IF(((('Вводные'!$B$15/100)/12)&gt;0),(('Вводные'!$B$14*(('Вводные'!$B$15/100)/12))/(1-((1+(('Вводные'!$B$15/100)/12))^(-1*'Вводные'!$B$16)))),('Вводные'!$B$14/'Вводные'!$B$16))*((((1+(('Вводные'!$B$15/100)/12))^10)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10)))),0)</f>
        <v>0</v>
      </c>
      <c r="M34" s="11">
        <f>IF((12&lt;='Вводные'!$B$16),MAX(0,IF(((('Вводные'!$B$15/100)/12)&gt;0),(('Вводные'!$B$14*((1+(('Вводные'!$B$15/100)/12))^11))-(IF(((('Вводные'!$B$15/100)/12)&gt;0),(('Вводные'!$B$14*(('Вводные'!$B$15/100)/12))/(1-((1+(('Вводные'!$B$15/100)/12))^(-1*'Вводные'!$B$16)))),('Вводные'!$B$14/'Вводные'!$B$16))*((((1+(('Вводные'!$B$15/100)/12))^11)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11)))),0)</f>
        <v>0</v>
      </c>
      <c r="N34" s="11">
        <f>M34</f>
        <v>0</v>
      </c>
      <c r="O34" s="17" t="inlineStr">
        <is>
          <t xml:space="preserve">Кредит</t>
        </is>
      </c>
    </row>
    <row r="35" ht="25" customHeight="1">
      <c r="A35" s="16" t="inlineStr">
        <is>
          <t xml:space="preserve">Проценты по кредиту</t>
        </is>
      </c>
      <c r="B35" s="11">
        <f>(B34*(('Вводные'!$B$15/100)/12))</f>
        <v>0</v>
      </c>
      <c r="C35" s="11">
        <f>(C34*(('Вводные'!$B$15/100)/12))</f>
        <v>0</v>
      </c>
      <c r="D35" s="11">
        <f>(D34*(('Вводные'!$B$15/100)/12))</f>
        <v>0</v>
      </c>
      <c r="E35" s="11">
        <f>(E34*(('Вводные'!$B$15/100)/12))</f>
        <v>0</v>
      </c>
      <c r="F35" s="11">
        <f>(F34*(('Вводные'!$B$15/100)/12))</f>
        <v>0</v>
      </c>
      <c r="G35" s="11">
        <f>(G34*(('Вводные'!$B$15/100)/12))</f>
        <v>0</v>
      </c>
      <c r="H35" s="11">
        <f>(H34*(('Вводные'!$B$15/100)/12))</f>
        <v>0</v>
      </c>
      <c r="I35" s="11">
        <f>(I34*(('Вводные'!$B$15/100)/12))</f>
        <v>0</v>
      </c>
      <c r="J35" s="11">
        <f>(J34*(('Вводные'!$B$15/100)/12))</f>
        <v>0</v>
      </c>
      <c r="K35" s="11">
        <f>(K34*(('Вводные'!$B$15/100)/12))</f>
        <v>0</v>
      </c>
      <c r="L35" s="11">
        <f>(L34*(('Вводные'!$B$15/100)/12))</f>
        <v>0</v>
      </c>
      <c r="M35" s="11">
        <f>(M34*(('Вводные'!$B$15/100)/12))</f>
        <v>0</v>
      </c>
      <c r="N35" s="11">
        <f>SUM(B35:M35)</f>
        <v>0</v>
      </c>
      <c r="O35" s="17" t="inlineStr">
        <is>
          <t xml:space="preserve">Результат</t>
        </is>
      </c>
    </row>
    <row r="36" ht="55" customHeight="1">
      <c r="A36" s="16" t="inlineStr">
        <is>
          <t xml:space="preserve">Погашение тела кредита</t>
        </is>
      </c>
      <c r="B36" s="11">
        <f>IF((1&lt;='Вводные'!$B$16),MIN(B34,MAX(0,(IF(((('Вводные'!$B$15/100)/12)&gt;0),(('Вводные'!$B$14*(('Вводные'!$B$15/100)/12))/(1-((1+(('Вводные'!$B$15/100)/12))^(-1*'Вводные'!$B$16)))),('Вводные'!$B$14/'Вводные'!$B$16))-B35))),0)</f>
        <v>0</v>
      </c>
      <c r="C36" s="11">
        <f>IF((2&lt;='Вводные'!$B$16),MIN(C34,MAX(0,(IF(((('Вводные'!$B$15/100)/12)&gt;0),(('Вводные'!$B$14*(('Вводные'!$B$15/100)/12))/(1-((1+(('Вводные'!$B$15/100)/12))^(-1*'Вводные'!$B$16)))),('Вводные'!$B$14/'Вводные'!$B$16))-C35))),0)</f>
        <v>0</v>
      </c>
      <c r="D36" s="11">
        <f>IF((3&lt;='Вводные'!$B$16),MIN(D34,MAX(0,(IF(((('Вводные'!$B$15/100)/12)&gt;0),(('Вводные'!$B$14*(('Вводные'!$B$15/100)/12))/(1-((1+(('Вводные'!$B$15/100)/12))^(-1*'Вводные'!$B$16)))),('Вводные'!$B$14/'Вводные'!$B$16))-D35))),0)</f>
        <v>0</v>
      </c>
      <c r="E36" s="11">
        <f>IF((4&lt;='Вводные'!$B$16),MIN(E34,MAX(0,(IF(((('Вводные'!$B$15/100)/12)&gt;0),(('Вводные'!$B$14*(('Вводные'!$B$15/100)/12))/(1-((1+(('Вводные'!$B$15/100)/12))^(-1*'Вводные'!$B$16)))),('Вводные'!$B$14/'Вводные'!$B$16))-E35))),0)</f>
        <v>0</v>
      </c>
      <c r="F36" s="11">
        <f>IF((5&lt;='Вводные'!$B$16),MIN(F34,MAX(0,(IF(((('Вводные'!$B$15/100)/12)&gt;0),(('Вводные'!$B$14*(('Вводные'!$B$15/100)/12))/(1-((1+(('Вводные'!$B$15/100)/12))^(-1*'Вводные'!$B$16)))),('Вводные'!$B$14/'Вводные'!$B$16))-F35))),0)</f>
        <v>0</v>
      </c>
      <c r="G36" s="11">
        <f>IF((6&lt;='Вводные'!$B$16),MIN(G34,MAX(0,(IF(((('Вводные'!$B$15/100)/12)&gt;0),(('Вводные'!$B$14*(('Вводные'!$B$15/100)/12))/(1-((1+(('Вводные'!$B$15/100)/12))^(-1*'Вводные'!$B$16)))),('Вводные'!$B$14/'Вводные'!$B$16))-G35))),0)</f>
        <v>0</v>
      </c>
      <c r="H36" s="11">
        <f>IF((7&lt;='Вводные'!$B$16),MIN(H34,MAX(0,(IF(((('Вводные'!$B$15/100)/12)&gt;0),(('Вводные'!$B$14*(('Вводные'!$B$15/100)/12))/(1-((1+(('Вводные'!$B$15/100)/12))^(-1*'Вводные'!$B$16)))),('Вводные'!$B$14/'Вводные'!$B$16))-H35))),0)</f>
        <v>0</v>
      </c>
      <c r="I36" s="11">
        <f>IF((8&lt;='Вводные'!$B$16),MIN(I34,MAX(0,(IF(((('Вводные'!$B$15/100)/12)&gt;0),(('Вводные'!$B$14*(('Вводные'!$B$15/100)/12))/(1-((1+(('Вводные'!$B$15/100)/12))^(-1*'Вводные'!$B$16)))),('Вводные'!$B$14/'Вводные'!$B$16))-I35))),0)</f>
        <v>0</v>
      </c>
      <c r="J36" s="11">
        <f>IF((9&lt;='Вводные'!$B$16),MIN(J34,MAX(0,(IF(((('Вводные'!$B$15/100)/12)&gt;0),(('Вводные'!$B$14*(('Вводные'!$B$15/100)/12))/(1-((1+(('Вводные'!$B$15/100)/12))^(-1*'Вводные'!$B$16)))),('Вводные'!$B$14/'Вводные'!$B$16))-J35))),0)</f>
        <v>0</v>
      </c>
      <c r="K36" s="11">
        <f>IF((10&lt;='Вводные'!$B$16),MIN(K34,MAX(0,(IF(((('Вводные'!$B$15/100)/12)&gt;0),(('Вводные'!$B$14*(('Вводные'!$B$15/100)/12))/(1-((1+(('Вводные'!$B$15/100)/12))^(-1*'Вводные'!$B$16)))),('Вводные'!$B$14/'Вводные'!$B$16))-K35))),0)</f>
        <v>0</v>
      </c>
      <c r="L36" s="11">
        <f>IF((11&lt;='Вводные'!$B$16),MIN(L34,MAX(0,(IF(((('Вводные'!$B$15/100)/12)&gt;0),(('Вводные'!$B$14*(('Вводные'!$B$15/100)/12))/(1-((1+(('Вводные'!$B$15/100)/12))^(-1*'Вводные'!$B$16)))),('Вводные'!$B$14/'Вводные'!$B$16))-L35))),0)</f>
        <v>0</v>
      </c>
      <c r="M36" s="11">
        <f>IF((12&lt;='Вводные'!$B$16),MIN(M34,MAX(0,(IF(((('Вводные'!$B$15/100)/12)&gt;0),(('Вводные'!$B$14*(('Вводные'!$B$15/100)/12))/(1-((1+(('Вводные'!$B$15/100)/12))^(-1*'Вводные'!$B$16)))),('Вводные'!$B$14/'Вводные'!$B$16))-M35))),0)</f>
        <v>0</v>
      </c>
      <c r="N36" s="11">
        <f>SUM(B36:M36)</f>
        <v>0</v>
      </c>
      <c r="O36" s="17" t="inlineStr">
        <is>
          <t xml:space="preserve">Аннуитетный платёж − проценты. Тело кредита уменьшает деньги, но не прибыль.</t>
        </is>
      </c>
    </row>
    <row r="37" ht="25" customHeight="1">
      <c r="A37" s="16" t="inlineStr">
        <is>
          <t xml:space="preserve">Кредит на конец месяца</t>
        </is>
      </c>
      <c r="B37" s="11">
        <f>MAX(0,(B34-B36))</f>
        <v>0</v>
      </c>
      <c r="C37" s="11">
        <f>MAX(0,(C34-C36))</f>
        <v>0</v>
      </c>
      <c r="D37" s="11">
        <f>MAX(0,(D34-D36))</f>
        <v>0</v>
      </c>
      <c r="E37" s="11">
        <f>MAX(0,(E34-E36))</f>
        <v>0</v>
      </c>
      <c r="F37" s="11">
        <f>MAX(0,(F34-F36))</f>
        <v>0</v>
      </c>
      <c r="G37" s="11">
        <f>MAX(0,(G34-G36))</f>
        <v>0</v>
      </c>
      <c r="H37" s="11">
        <f>MAX(0,(H34-H36))</f>
        <v>0</v>
      </c>
      <c r="I37" s="11">
        <f>MAX(0,(I34-I36))</f>
        <v>0</v>
      </c>
      <c r="J37" s="11">
        <f>MAX(0,(J34-J36))</f>
        <v>0</v>
      </c>
      <c r="K37" s="11">
        <f>MAX(0,(K34-K36))</f>
        <v>0</v>
      </c>
      <c r="L37" s="11">
        <f>MAX(0,(L34-L36))</f>
        <v>0</v>
      </c>
      <c r="M37" s="11">
        <f>MAX(0,(M34-M36))</f>
        <v>0</v>
      </c>
      <c r="N37" s="11">
        <f>M37</f>
        <v>0</v>
      </c>
      <c r="O37" s="17" t="inlineStr">
        <is>
          <t xml:space="preserve">Кредит</t>
        </is>
      </c>
    </row>
    <row r="38" ht="25" customHeight="1">
      <c r="A38" s="16" t="inlineStr">
        <is>
          <t xml:space="preserve">Прибыль до налога</t>
        </is>
      </c>
      <c r="B38" s="11">
        <f>(B33-B35)</f>
        <v>824166.6666666666</v>
      </c>
      <c r="C38" s="11">
        <f>(C33-C35)</f>
        <v>890466.6666666666</v>
      </c>
      <c r="D38" s="11">
        <f>(D33-D35)</f>
        <v>959418.6666666666</v>
      </c>
      <c r="E38" s="11">
        <f>(E33-E35)</f>
        <v>1031128.7466666667</v>
      </c>
      <c r="F38" s="11">
        <f>(F33-F35)</f>
        <v>1105707.229866667</v>
      </c>
      <c r="G38" s="11">
        <f>(G33-G35)</f>
        <v>1183268.8523946668</v>
      </c>
      <c r="H38" s="11">
        <f>(H33-H35)</f>
        <v>1263932.9398237874</v>
      </c>
      <c r="I38" s="11">
        <f>(I33-I35)</f>
        <v>1347823.590750072</v>
      </c>
      <c r="J38" s="11">
        <f>(J33-J35)</f>
        <v>1435069.8677134083</v>
      </c>
      <c r="K38" s="11">
        <f>(K33-K35)</f>
        <v>1525805.9957552783</v>
      </c>
      <c r="L38" s="11">
        <f>(L33-L35)</f>
        <v>1620171.568918823</v>
      </c>
      <c r="M38" s="11">
        <f>(M33-M35)</f>
        <v>1718311.7650089094</v>
      </c>
      <c r="N38" s="11">
        <f>SUM(B38:M38)</f>
        <v>14905272.556898277</v>
      </c>
      <c r="O38" s="17" t="inlineStr">
        <is>
          <t xml:space="preserve">Результат</t>
        </is>
      </c>
    </row>
    <row r="39" ht="55" customHeight="1">
      <c r="A39" s="16" t="inlineStr">
        <is>
          <t xml:space="preserve">Условный налог</t>
        </is>
      </c>
      <c r="B39" s="11">
        <f>IF(('Вводные'!$B$6="none"),0,(IF(('Вводные'!$B$6="revenue"),B8,MAX(0,B38))*('Вводные'!$B$7/100)))</f>
        <v>82416.66666666667</v>
      </c>
      <c r="C39" s="11">
        <f>IF(('Вводные'!$B$6="none"),0,(IF(('Вводные'!$B$6="revenue"),C8,MAX(0,C38))*('Вводные'!$B$7/100)))</f>
        <v>89046.66666666667</v>
      </c>
      <c r="D39" s="11">
        <f>IF(('Вводные'!$B$6="none"),0,(IF(('Вводные'!$B$6="revenue"),D8,MAX(0,D38))*('Вводные'!$B$7/100)))</f>
        <v>95941.86666666667</v>
      </c>
      <c r="E39" s="11">
        <f>IF(('Вводные'!$B$6="none"),0,(IF(('Вводные'!$B$6="revenue"),E8,MAX(0,E38))*('Вводные'!$B$7/100)))</f>
        <v>103112.87466666667</v>
      </c>
      <c r="F39" s="11">
        <f>IF(('Вводные'!$B$6="none"),0,(IF(('Вводные'!$B$6="revenue"),F8,MAX(0,F38))*('Вводные'!$B$7/100)))</f>
        <v>110570.7229866667</v>
      </c>
      <c r="G39" s="11">
        <f>IF(('Вводные'!$B$6="none"),0,(IF(('Вводные'!$B$6="revenue"),G8,MAX(0,G38))*('Вводные'!$B$7/100)))</f>
        <v>118326.88523946668</v>
      </c>
      <c r="H39" s="11">
        <f>IF(('Вводные'!$B$6="none"),0,(IF(('Вводные'!$B$6="revenue"),H8,MAX(0,H38))*('Вводные'!$B$7/100)))</f>
        <v>126393.29398237875</v>
      </c>
      <c r="I39" s="11">
        <f>IF(('Вводные'!$B$6="none"),0,(IF(('Вводные'!$B$6="revenue"),I8,MAX(0,I38))*('Вводные'!$B$7/100)))</f>
        <v>134782.3590750072</v>
      </c>
      <c r="J39" s="11">
        <f>IF(('Вводные'!$B$6="none"),0,(IF(('Вводные'!$B$6="revenue"),J8,MAX(0,J38))*('Вводные'!$B$7/100)))</f>
        <v>143506.98677134083</v>
      </c>
      <c r="K39" s="11">
        <f>IF(('Вводные'!$B$6="none"),0,(IF(('Вводные'!$B$6="revenue"),K8,MAX(0,K38))*('Вводные'!$B$7/100)))</f>
        <v>152580.59957552783</v>
      </c>
      <c r="L39" s="11">
        <f>IF(('Вводные'!$B$6="none"),0,(IF(('Вводные'!$B$6="revenue"),L8,MAX(0,L38))*('Вводные'!$B$7/100)))</f>
        <v>162017.1568918823</v>
      </c>
      <c r="M39" s="11">
        <f>IF(('Вводные'!$B$6="none"),0,(IF(('Вводные'!$B$6="revenue"),M8,MAX(0,M38))*('Вводные'!$B$7/100)))</f>
        <v>171831.17650089096</v>
      </c>
      <c r="N39" s="11">
        <f>SUM(B39:M39)</f>
        <v>1490527.2556898277</v>
      </c>
      <c r="O39" s="17" t="inlineStr">
        <is>
          <t xml:space="preserve">Ваша ставка × оборот или положительная прибыль месяца. Без переноса убытков. Оплата в том же месяце.</t>
        </is>
      </c>
    </row>
    <row r="40" ht="55" customHeight="1">
      <c r="A40" s="13" t="inlineStr">
        <is>
          <t xml:space="preserve">Чистая прибыль</t>
        </is>
      </c>
      <c r="B40" s="14">
        <f>(B38-B39)</f>
        <v>741750</v>
      </c>
      <c r="C40" s="14">
        <f>(C38-C39)</f>
        <v>801420</v>
      </c>
      <c r="D40" s="14">
        <f>(D38-D39)</f>
        <v>863476.7999999999</v>
      </c>
      <c r="E40" s="14">
        <f>(E38-E39)</f>
        <v>928015.872</v>
      </c>
      <c r="F40" s="14">
        <f>(F38-F39)</f>
        <v>995136.5068800002</v>
      </c>
      <c r="G40" s="14">
        <f>(G38-G39)</f>
        <v>1064941.9671552</v>
      </c>
      <c r="H40" s="14">
        <f>(H38-H39)</f>
        <v>1137539.6458414088</v>
      </c>
      <c r="I40" s="14">
        <f>(I38-I39)</f>
        <v>1213041.2316750647</v>
      </c>
      <c r="J40" s="14">
        <f>(J38-J39)</f>
        <v>1291562.8809420676</v>
      </c>
      <c r="K40" s="14">
        <f>(K38-K39)</f>
        <v>1373225.3961797506</v>
      </c>
      <c r="L40" s="14">
        <f>(L38-L39)</f>
        <v>1458154.4120269408</v>
      </c>
      <c r="M40" s="14">
        <f>(M38-M39)</f>
        <v>1546480.5885080185</v>
      </c>
      <c r="N40" s="14">
        <f>SUM(B40:M40)</f>
        <v>13414745.30120845</v>
      </c>
      <c r="O40" s="15" t="inlineStr">
        <is>
          <t xml:space="preserve">Выручка − себестоимость − команда − маркетинг − прочие − амортизация − проценты − налог.</t>
        </is>
      </c>
    </row>
    <row r="41" ht="25" customHeight="1">
      <c r="A41" s="16" t="inlineStr">
        <is>
          <t xml:space="preserve">Все расходы в прибыли</t>
        </is>
      </c>
      <c r="B41" s="11">
        <f>(B8-B40)</f>
        <v>1808250</v>
      </c>
      <c r="C41" s="11">
        <f>(C8-C40)</f>
        <v>1850580</v>
      </c>
      <c r="D41" s="11">
        <f>(D8-D40)</f>
        <v>1894603.2000000002</v>
      </c>
      <c r="E41" s="11">
        <f>(E8-E40)</f>
        <v>1940387.3280000002</v>
      </c>
      <c r="F41" s="11">
        <f>(F8-F40)</f>
        <v>1988002.82112</v>
      </c>
      <c r="G41" s="11">
        <f>(G8-G40)</f>
        <v>2037522.9339648</v>
      </c>
      <c r="H41" s="11">
        <f>(H8-H40)</f>
        <v>2089023.851323392</v>
      </c>
      <c r="I41" s="11">
        <f>(I8-I40)</f>
        <v>2142584.805376328</v>
      </c>
      <c r="J41" s="11">
        <f>(J8-J40)</f>
        <v>2198288.1975913807</v>
      </c>
      <c r="K41" s="11">
        <f>(K8-K40)</f>
        <v>2256219.7254950358</v>
      </c>
      <c r="L41" s="11">
        <f>(L8-L40)</f>
        <v>2316468.5145148374</v>
      </c>
      <c r="M41" s="11">
        <f>(M8-M40)</f>
        <v>2379127.2550954316</v>
      </c>
      <c r="N41" s="11">
        <f>SUM(B41:M41)</f>
        <v>24901058.63248121</v>
      </c>
      <c r="O41" s="17" t="inlineStr">
        <is>
          <t xml:space="preserve">Результат</t>
        </is>
      </c>
    </row>
    <row r="42" ht="25" customHeight="1">
      <c r="A42" s="16" t="inlineStr">
        <is>
          <t xml:space="preserve">Оплата от клиентов</t>
        </is>
      </c>
      <c r="B42" s="11">
        <f>IF(1-'Вводные'!$B$8&gt;0,INDEX($B$8:$M$8,1,MAX(1,1-'Вводные'!$B$8)),0)</f>
        <v>2550000</v>
      </c>
      <c r="C42" s="11">
        <f>IF(2-'Вводные'!$B$8&gt;0,INDEX($B$8:$M$8,1,MAX(1,2-'Вводные'!$B$8)),0)</f>
        <v>2652000</v>
      </c>
      <c r="D42" s="11">
        <f>IF(3-'Вводные'!$B$8&gt;0,INDEX($B$8:$M$8,1,MAX(1,3-'Вводные'!$B$8)),0)</f>
        <v>2758080</v>
      </c>
      <c r="E42" s="11">
        <f>IF(4-'Вводные'!$B$8&gt;0,INDEX($B$8:$M$8,1,MAX(1,4-'Вводные'!$B$8)),0)</f>
        <v>2868403.2</v>
      </c>
      <c r="F42" s="11">
        <f>IF(5-'Вводные'!$B$8&gt;0,INDEX($B$8:$M$8,1,MAX(1,5-'Вводные'!$B$8)),0)</f>
        <v>2983139.328</v>
      </c>
      <c r="G42" s="11">
        <f>IF(6-'Вводные'!$B$8&gt;0,INDEX($B$8:$M$8,1,MAX(1,6-'Вводные'!$B$8)),0)</f>
        <v>3102464.90112</v>
      </c>
      <c r="H42" s="11">
        <f>IF(7-'Вводные'!$B$8&gt;0,INDEX($B$8:$M$8,1,MAX(1,7-'Вводные'!$B$8)),0)</f>
        <v>3226563.4971648008</v>
      </c>
      <c r="I42" s="11">
        <f>IF(8-'Вводные'!$B$8&gt;0,INDEX($B$8:$M$8,1,MAX(1,8-'Вводные'!$B$8)),0)</f>
        <v>3355626.0370513927</v>
      </c>
      <c r="J42" s="11">
        <f>IF(9-'Вводные'!$B$8&gt;0,INDEX($B$8:$M$8,1,MAX(1,9-'Вводные'!$B$8)),0)</f>
        <v>3489851.0785334483</v>
      </c>
      <c r="K42" s="11">
        <f>IF(10-'Вводные'!$B$8&gt;0,INDEX($B$8:$M$8,1,MAX(1,10-'Вводные'!$B$8)),0)</f>
        <v>3629445.1216747863</v>
      </c>
      <c r="L42" s="11">
        <f>IF(11-'Вводные'!$B$8&gt;0,INDEX($B$8:$M$8,1,MAX(1,11-'Вводные'!$B$8)),0)</f>
        <v>3774622.9265417783</v>
      </c>
      <c r="M42" s="11">
        <f>IF(12-'Вводные'!$B$8&gt;0,INDEX($B$8:$M$8,1,MAX(1,12-'Вводные'!$B$8)),0)</f>
        <v>3925607.84360345</v>
      </c>
      <c r="N42" s="11">
        <f>SUM(B42:M42)</f>
        <v>38315803.933689654</v>
      </c>
      <c r="O42" s="17" t="inlineStr">
        <is>
          <t xml:space="preserve">Денежный поток</t>
        </is>
      </c>
    </row>
    <row r="43" ht="25" customHeight="1">
      <c r="A43" s="16" t="inlineStr">
        <is>
          <t xml:space="preserve">Оплата себестоимости</t>
        </is>
      </c>
      <c r="B43" s="11">
        <f>IF(1-'Вводные'!$B$9&gt;0,INDEX($B$9:$M$9,1,MAX(1,1-'Вводные'!$B$9)),0)</f>
        <v>892500</v>
      </c>
      <c r="C43" s="11">
        <f>IF(2-'Вводные'!$B$9&gt;0,INDEX($B$9:$M$9,1,MAX(1,2-'Вводные'!$B$9)),0)</f>
        <v>928199.9999999999</v>
      </c>
      <c r="D43" s="11">
        <f>IF(3-'Вводные'!$B$9&gt;0,INDEX($B$9:$M$9,1,MAX(1,3-'Вводные'!$B$9)),0)</f>
        <v>965327.9999999999</v>
      </c>
      <c r="E43" s="11">
        <f>IF(4-'Вводные'!$B$9&gt;0,INDEX($B$9:$M$9,1,MAX(1,4-'Вводные'!$B$9)),0)</f>
        <v>1003941.12</v>
      </c>
      <c r="F43" s="11">
        <f>IF(5-'Вводные'!$B$9&gt;0,INDEX($B$9:$M$9,1,MAX(1,5-'Вводные'!$B$9)),0)</f>
        <v>1044098.7648</v>
      </c>
      <c r="G43" s="11">
        <f>IF(6-'Вводные'!$B$9&gt;0,INDEX($B$9:$M$9,1,MAX(1,6-'Вводные'!$B$9)),0)</f>
        <v>1085862.715392</v>
      </c>
      <c r="H43" s="11">
        <f>IF(7-'Вводные'!$B$9&gt;0,INDEX($B$9:$M$9,1,MAX(1,7-'Вводные'!$B$9)),0)</f>
        <v>1129297.22400768</v>
      </c>
      <c r="I43" s="11">
        <f>IF(8-'Вводные'!$B$9&gt;0,INDEX($B$9:$M$9,1,MAX(1,8-'Вводные'!$B$9)),0)</f>
        <v>1174469.1129679873</v>
      </c>
      <c r="J43" s="11">
        <f>IF(9-'Вводные'!$B$9&gt;0,INDEX($B$9:$M$9,1,MAX(1,9-'Вводные'!$B$9)),0)</f>
        <v>1221447.8774867067</v>
      </c>
      <c r="K43" s="11">
        <f>IF(10-'Вводные'!$B$9&gt;0,INDEX($B$9:$M$9,1,MAX(1,10-'Вводные'!$B$9)),0)</f>
        <v>1270305.792586175</v>
      </c>
      <c r="L43" s="11">
        <f>IF(11-'Вводные'!$B$9&gt;0,INDEX($B$9:$M$9,1,MAX(1,11-'Вводные'!$B$9)),0)</f>
        <v>1321118.0242896222</v>
      </c>
      <c r="M43" s="11">
        <f>IF(12-'Вводные'!$B$9&gt;0,INDEX($B$9:$M$9,1,MAX(1,12-'Вводные'!$B$9)),0)</f>
        <v>1373962.7452612075</v>
      </c>
      <c r="N43" s="11">
        <f>SUM(B43:M43)</f>
        <v>13410531.37679138</v>
      </c>
      <c r="O43" s="17" t="inlineStr">
        <is>
          <t xml:space="preserve">Денежный поток</t>
        </is>
      </c>
    </row>
    <row r="44" ht="25" customHeight="1">
      <c r="A44" s="16" t="inlineStr">
        <is>
          <t xml:space="preserve">Дебиторская задолженность</t>
        </is>
      </c>
      <c r="B44" s="11">
        <f>(0+(B8-B42))</f>
        <v>0</v>
      </c>
      <c r="C44" s="11">
        <f>(B44+(C8-C42))</f>
        <v>0</v>
      </c>
      <c r="D44" s="11">
        <f>(C44+(D8-D42))</f>
        <v>0</v>
      </c>
      <c r="E44" s="11">
        <f>(D44+(E8-E42))</f>
        <v>0</v>
      </c>
      <c r="F44" s="11">
        <f>(E44+(F8-F42))</f>
        <v>0</v>
      </c>
      <c r="G44" s="11">
        <f>(F44+(G8-G42))</f>
        <v>0</v>
      </c>
      <c r="H44" s="11">
        <f>(G44+(H8-H42))</f>
        <v>0</v>
      </c>
      <c r="I44" s="11">
        <f>(H44+(I8-I42))</f>
        <v>0</v>
      </c>
      <c r="J44" s="11">
        <f>(I44+(J8-J42))</f>
        <v>0</v>
      </c>
      <c r="K44" s="11">
        <f>(J44+(K8-K42))</f>
        <v>0</v>
      </c>
      <c r="L44" s="11">
        <f>(K44+(L8-L42))</f>
        <v>0</v>
      </c>
      <c r="M44" s="11">
        <f>(L44+(M8-M42))</f>
        <v>0</v>
      </c>
      <c r="N44" s="11">
        <f>M44</f>
        <v>0</v>
      </c>
      <c r="O44" s="17" t="inlineStr">
        <is>
          <t xml:space="preserve">Оборотный капитал</t>
        </is>
      </c>
    </row>
    <row r="45" ht="25" customHeight="1">
      <c r="A45" s="16" t="inlineStr">
        <is>
          <t xml:space="preserve">Кредиторская задолженность</t>
        </is>
      </c>
      <c r="B45" s="11">
        <f>(0+(B9-B43))</f>
        <v>0</v>
      </c>
      <c r="C45" s="11">
        <f>(B45+(C9-C43))</f>
        <v>0</v>
      </c>
      <c r="D45" s="11">
        <f>(C45+(D9-D43))</f>
        <v>0</v>
      </c>
      <c r="E45" s="11">
        <f>(D45+(E9-E43))</f>
        <v>0</v>
      </c>
      <c r="F45" s="11">
        <f>(E45+(F9-F43))</f>
        <v>0</v>
      </c>
      <c r="G45" s="11">
        <f>(F45+(G9-G43))</f>
        <v>0</v>
      </c>
      <c r="H45" s="11">
        <f>(G45+(H9-H43))</f>
        <v>0</v>
      </c>
      <c r="I45" s="11">
        <f>(H45+(I9-I43))</f>
        <v>0</v>
      </c>
      <c r="J45" s="11">
        <f>(I45+(J9-J43))</f>
        <v>0</v>
      </c>
      <c r="K45" s="11">
        <f>(J45+(K9-K43))</f>
        <v>0</v>
      </c>
      <c r="L45" s="11">
        <f>(K45+(L9-L43))</f>
        <v>0</v>
      </c>
      <c r="M45" s="11">
        <f>(L45+(M9-M43))</f>
        <v>0</v>
      </c>
      <c r="N45" s="11">
        <f>M45</f>
        <v>0</v>
      </c>
      <c r="O45" s="17" t="inlineStr">
        <is>
          <t xml:space="preserve">Оборотный капитал</t>
        </is>
      </c>
    </row>
    <row r="46" ht="55" customHeight="1">
      <c r="A46" s="16" t="inlineStr">
        <is>
          <t xml:space="preserve">Операционный денежный поток</t>
        </is>
      </c>
      <c r="B46" s="11">
        <f>((B42-B43)-((B29+B35)+B39))</f>
        <v>825083.3333333334</v>
      </c>
      <c r="C46" s="11">
        <f>((C42-C43)-((C29+C35)+C39))</f>
        <v>884753.3333333334</v>
      </c>
      <c r="D46" s="11">
        <f>((D42-D43)-((D29+D35)+D39))</f>
        <v>946810.1333333333</v>
      </c>
      <c r="E46" s="11">
        <f>((E42-E43)-((E29+E35)+E39))</f>
        <v>1011349.2053333335</v>
      </c>
      <c r="F46" s="11">
        <f>((F42-F43)-((F29+F35)+F39))</f>
        <v>1078469.8402133335</v>
      </c>
      <c r="G46" s="11">
        <f>((G42-G43)-((G29+G35)+G39))</f>
        <v>1148275.3004885335</v>
      </c>
      <c r="H46" s="11">
        <f>((H42-H43)-((H29+H35)+H39))</f>
        <v>1220872.979174742</v>
      </c>
      <c r="I46" s="11">
        <f>((I42-I43)-((I29+I35)+I39))</f>
        <v>1296374.565008398</v>
      </c>
      <c r="J46" s="11">
        <f>((J42-J43)-((J29+J35)+J39))</f>
        <v>1374896.2142754006</v>
      </c>
      <c r="K46" s="11">
        <f>((K42-K43)-((K29+K35)+K39))</f>
        <v>1456558.7295130836</v>
      </c>
      <c r="L46" s="11">
        <f>((L42-L43)-((L29+L35)+L39))</f>
        <v>1541487.7453602739</v>
      </c>
      <c r="M46" s="11">
        <f>((M42-M43)-((M29+M35)+M39))</f>
        <v>1629813.9218413518</v>
      </c>
      <c r="N46" s="11">
        <f>SUM(B46:M46)</f>
        <v>14414745.30120845</v>
      </c>
      <c r="O46" s="17" t="inlineStr">
        <is>
          <t xml:space="preserve">Оплата клиентов − оплаченная себестоимость − операционные расходы − проценты − налог. Без амортизации.</t>
        </is>
      </c>
    </row>
    <row r="47" ht="55" customHeight="1">
      <c r="A47" s="16" t="inlineStr">
        <is>
          <t xml:space="preserve">Изменение денег за месяц</t>
        </is>
      </c>
      <c r="B47" s="11">
        <f>((B46-B31)-B36)</f>
        <v>825083.3333333334</v>
      </c>
      <c r="C47" s="11">
        <f>((C46-C31)-C36)</f>
        <v>884753.3333333334</v>
      </c>
      <c r="D47" s="11">
        <f>((D46-D31)-D36)</f>
        <v>946810.1333333333</v>
      </c>
      <c r="E47" s="11">
        <f>((E46-E31)-E36)</f>
        <v>1011349.2053333335</v>
      </c>
      <c r="F47" s="11">
        <f>((F46-F31)-F36)</f>
        <v>1078469.8402133335</v>
      </c>
      <c r="G47" s="11">
        <f>((G46-G31)-G36)</f>
        <v>1148275.3004885335</v>
      </c>
      <c r="H47" s="11">
        <f>((H46-H31)-H36)</f>
        <v>1220872.979174742</v>
      </c>
      <c r="I47" s="11">
        <f>((I46-I31)-I36)</f>
        <v>1296374.565008398</v>
      </c>
      <c r="J47" s="11">
        <f>((J46-J31)-J36)</f>
        <v>1374896.2142754006</v>
      </c>
      <c r="K47" s="11">
        <f>((K46-K31)-K36)</f>
        <v>1456558.7295130836</v>
      </c>
      <c r="L47" s="11">
        <f>((L46-L31)-L36)</f>
        <v>1541487.7453602739</v>
      </c>
      <c r="M47" s="11">
        <f>((M46-M31)-M36)</f>
        <v>1629813.9218413518</v>
      </c>
      <c r="N47" s="11">
        <f>SUM(B47:M47)</f>
        <v>14414745.30120845</v>
      </c>
      <c r="O47" s="17" t="inlineStr">
        <is>
          <t xml:space="preserve">Операционный поток − покупка активов − тело кредита.</t>
        </is>
      </c>
    </row>
    <row r="48" ht="55" customHeight="1">
      <c r="A48" s="13" t="inlineStr">
        <is>
          <t xml:space="preserve">Деньги на конец месяца</t>
        </is>
      </c>
      <c r="B48" s="14">
        <f>(((('Вводные'!$B$10+'Вводные'!$B$11)+'Вводные'!$B$14)-'Вводные'!$B$12)+B47)</f>
        <v>825083.3333333334</v>
      </c>
      <c r="C48" s="14">
        <f>(B48+C47)</f>
        <v>1709836.6666666667</v>
      </c>
      <c r="D48" s="14">
        <f>(C48+D47)</f>
        <v>2656646.8</v>
      </c>
      <c r="E48" s="14">
        <f>(D48+E47)</f>
        <v>3667996.0053333333</v>
      </c>
      <c r="F48" s="14">
        <f>(E48+F47)</f>
        <v>4746465.8455466665</v>
      </c>
      <c r="G48" s="14">
        <f>(F48+G47)</f>
        <v>5894741.1460352</v>
      </c>
      <c r="H48" s="14">
        <f>(G48+H47)</f>
        <v>7115614.125209942</v>
      </c>
      <c r="I48" s="14">
        <f>(H48+I47)</f>
        <v>8411988.69021834</v>
      </c>
      <c r="J48" s="14">
        <f>(I48+J47)</f>
        <v>9786884.904493742</v>
      </c>
      <c r="K48" s="14">
        <f>(J48+K47)</f>
        <v>11243443.634006824</v>
      </c>
      <c r="L48" s="14">
        <f>(K48+L47)</f>
        <v>12784931.379367098</v>
      </c>
      <c r="M48" s="14">
        <f>(L48+M47)</f>
        <v>14414745.30120845</v>
      </c>
      <c r="N48" s="14">
        <f>M48</f>
        <v>14414745.30120845</v>
      </c>
      <c r="O48" s="15" t="inlineStr">
        <is>
          <t xml:space="preserve">Старт = деньги на начало + взнос собственника + кредит − начальные вложения. Затем прибавляется изменение денег.</t>
        </is>
      </c>
    </row>
    <row r="49" ht="55" customHeight="1">
      <c r="A49" s="16" t="inlineStr">
        <is>
          <t xml:space="preserve">Покрытие вложений, накопленно</t>
        </is>
      </c>
      <c r="B49" s="11">
        <f>((-1*'Вводные'!$B$12)+(B46-B31))</f>
        <v>-2174916.6666666665</v>
      </c>
      <c r="C49" s="11">
        <f>(B49+(C46-C31))</f>
        <v>-1290163.333333333</v>
      </c>
      <c r="D49" s="11">
        <f>(C49+(D46-D31))</f>
        <v>-343353.1999999997</v>
      </c>
      <c r="E49" s="11">
        <f>(D49+(E46-E31))</f>
        <v>667996.0053333337</v>
      </c>
      <c r="F49" s="11">
        <f>(E49+(F46-F31))</f>
        <v>1746465.8455466672</v>
      </c>
      <c r="G49" s="11">
        <f>(F49+(G46-G31))</f>
        <v>2894741.146035201</v>
      </c>
      <c r="H49" s="11">
        <f>(G49+(H46-H31))</f>
        <v>4115614.125209943</v>
      </c>
      <c r="I49" s="11">
        <f>(H49+(I46-I31))</f>
        <v>5411988.690218341</v>
      </c>
      <c r="J49" s="11">
        <f>(I49+(J46-J31))</f>
        <v>6786884.904493742</v>
      </c>
      <c r="K49" s="11">
        <f>(J49+(K46-K31))</f>
        <v>8243443.634006825</v>
      </c>
      <c r="L49" s="11">
        <f>(K49+(L46-L31))</f>
        <v>9784931.379367098</v>
      </c>
      <c r="M49" s="11">
        <f>(L49+(M46-M31))</f>
        <v>11414745.30120845</v>
      </c>
      <c r="N49" s="11">
        <f>M49</f>
        <v>11414745.30120845</v>
      </c>
      <c r="O49" s="17" t="inlineStr">
        <is>
          <t xml:space="preserve">Накопленный операционный поток − вложения. Без взносов, выдачи и тела кредита; после процентов. Поздние покупки могут снова уменьшить показатель.</t>
        </is>
      </c>
    </row>
    <row r="50" ht="55" customHeight="1">
      <c r="A50" s="16" t="inlineStr">
        <is>
          <t xml:space="preserve">Свободный поток после покупок</t>
        </is>
      </c>
      <c r="B50" s="11">
        <f>(B46-B31)</f>
        <v>825083.3333333334</v>
      </c>
      <c r="C50" s="11">
        <f>(C46-C31)</f>
        <v>884753.3333333334</v>
      </c>
      <c r="D50" s="11">
        <f>(D46-D31)</f>
        <v>946810.1333333333</v>
      </c>
      <c r="E50" s="11">
        <f>(E46-E31)</f>
        <v>1011349.2053333335</v>
      </c>
      <c r="F50" s="11">
        <f>(F46-F31)</f>
        <v>1078469.8402133335</v>
      </c>
      <c r="G50" s="11">
        <f>(G46-G31)</f>
        <v>1148275.3004885335</v>
      </c>
      <c r="H50" s="11">
        <f>(H46-H31)</f>
        <v>1220872.979174742</v>
      </c>
      <c r="I50" s="11">
        <f>(I46-I31)</f>
        <v>1296374.565008398</v>
      </c>
      <c r="J50" s="11">
        <f>(J46-J31)</f>
        <v>1374896.2142754006</v>
      </c>
      <c r="K50" s="11">
        <f>(K46-K31)</f>
        <v>1456558.7295130836</v>
      </c>
      <c r="L50" s="11">
        <f>(L46-L31)</f>
        <v>1541487.7453602739</v>
      </c>
      <c r="M50" s="11">
        <f>(M46-M31)</f>
        <v>1629813.9218413518</v>
      </c>
      <c r="N50" s="11">
        <f>SUM(B50:M50)</f>
        <v>14414745.30120845</v>
      </c>
      <c r="O50" s="17" t="inlineStr">
        <is>
          <t xml:space="preserve">Операционный поток − покупка активов, до погашения тела кредита.</t>
        </is>
      </c>
    </row>
    <row r="51" ht="55" customHeight="1">
      <c r="A51" s="16" t="inlineStr">
        <is>
          <t xml:space="preserve">Полный платёж по кредиту</t>
        </is>
      </c>
      <c r="B51" s="11">
        <f>(B35+B36)</f>
        <v>0</v>
      </c>
      <c r="C51" s="11">
        <f>(C35+C36)</f>
        <v>0</v>
      </c>
      <c r="D51" s="11">
        <f>(D35+D36)</f>
        <v>0</v>
      </c>
      <c r="E51" s="11">
        <f>(E35+E36)</f>
        <v>0</v>
      </c>
      <c r="F51" s="11">
        <f>(F35+F36)</f>
        <v>0</v>
      </c>
      <c r="G51" s="11">
        <f>(G35+G36)</f>
        <v>0</v>
      </c>
      <c r="H51" s="11">
        <f>(H35+H36)</f>
        <v>0</v>
      </c>
      <c r="I51" s="11">
        <f>(I35+I36)</f>
        <v>0</v>
      </c>
      <c r="J51" s="11">
        <f>(J35+J36)</f>
        <v>0</v>
      </c>
      <c r="K51" s="11">
        <f>(K35+K36)</f>
        <v>0</v>
      </c>
      <c r="L51" s="11">
        <f>(L35+L36)</f>
        <v>0</v>
      </c>
      <c r="M51" s="11">
        <f>(M35+M36)</f>
        <v>0</v>
      </c>
      <c r="N51" s="11">
        <f>SUM(B51:M51)</f>
        <v>0</v>
      </c>
      <c r="O51" s="17" t="inlineStr">
        <is>
          <t xml:space="preserve">Проценты + погашение тела. Это расшифровка, не дополнительное списание.</t>
        </is>
      </c>
    </row>
    <row r="52" ht="55" customHeight="1">
      <c r="A52" s="16" t="inlineStr">
        <is>
          <t xml:space="preserve">Инвестиции накопленно</t>
        </is>
      </c>
      <c r="B52" s="11">
        <f>('Вводные'!$B$12+B31)</f>
        <v>3000000</v>
      </c>
      <c r="C52" s="11">
        <f>(B52+C31)</f>
        <v>3000000</v>
      </c>
      <c r="D52" s="11">
        <f>(C52+D31)</f>
        <v>3000000</v>
      </c>
      <c r="E52" s="11">
        <f>(D52+E31)</f>
        <v>3000000</v>
      </c>
      <c r="F52" s="11">
        <f>(E52+F31)</f>
        <v>3000000</v>
      </c>
      <c r="G52" s="11">
        <f>(F52+G31)</f>
        <v>3000000</v>
      </c>
      <c r="H52" s="11">
        <f>(G52+H31)</f>
        <v>3000000</v>
      </c>
      <c r="I52" s="11">
        <f>(H52+I31)</f>
        <v>3000000</v>
      </c>
      <c r="J52" s="11">
        <f>(I52+J31)</f>
        <v>3000000</v>
      </c>
      <c r="K52" s="11">
        <f>(J52+K31)</f>
        <v>3000000</v>
      </c>
      <c r="L52" s="11">
        <f>(K52+L31)</f>
        <v>3000000</v>
      </c>
      <c r="M52" s="11">
        <f>(L52+M31)</f>
        <v>3000000</v>
      </c>
      <c r="N52" s="11">
        <f>M52</f>
        <v>3000000</v>
      </c>
      <c r="O52" s="17" t="inlineStr">
        <is>
          <t xml:space="preserve">Вложения до М1 + покупки активов к выбранному месяцу.</t>
        </is>
      </c>
    </row>
    <row r="53" ht="55" customHeight="1">
      <c r="A53" s="16" t="inlineStr">
        <is>
          <t xml:space="preserve">Операционный поток накопленно</t>
        </is>
      </c>
      <c r="B53" s="11">
        <f>(0+B46)</f>
        <v>825083.3333333334</v>
      </c>
      <c r="C53" s="11">
        <f>(B53+C46)</f>
        <v>1709836.6666666667</v>
      </c>
      <c r="D53" s="11">
        <f>(C53+D46)</f>
        <v>2656646.8</v>
      </c>
      <c r="E53" s="11">
        <f>(D53+E46)</f>
        <v>3667996.0053333333</v>
      </c>
      <c r="F53" s="11">
        <f>(E53+F46)</f>
        <v>4746465.8455466665</v>
      </c>
      <c r="G53" s="11">
        <f>(F53+G46)</f>
        <v>5894741.1460352</v>
      </c>
      <c r="H53" s="11">
        <f>(G53+H46)</f>
        <v>7115614.125209942</v>
      </c>
      <c r="I53" s="11">
        <f>(H53+I46)</f>
        <v>8411988.69021834</v>
      </c>
      <c r="J53" s="11">
        <f>(I53+J46)</f>
        <v>9786884.904493742</v>
      </c>
      <c r="K53" s="11">
        <f>(J53+K46)</f>
        <v>11243443.634006824</v>
      </c>
      <c r="L53" s="11">
        <f>(K53+L46)</f>
        <v>12784931.379367098</v>
      </c>
      <c r="M53" s="11">
        <f>(L53+M46)</f>
        <v>14414745.30120845</v>
      </c>
      <c r="N53" s="11">
        <f>M53</f>
        <v>14414745.30120845</v>
      </c>
      <c r="O53" s="17" t="inlineStr">
        <is>
          <t xml:space="preserve">Сумма операционных денежных потоков после процентов и налога.</t>
        </is>
      </c>
    </row>
    <row r="54" ht="25" customHeight="1">
      <c r="A54" s="18" t="inlineStr">
        <is>
          <t xml:space="preserve">Результат / вложения</t>
        </is>
      </c>
      <c r="B54" s="19">
        <f>IF(B52&gt;0,B49/B52,"")</f>
        <v>-0.7249722222222221</v>
      </c>
      <c r="C54" s="19">
        <f>IF(C52&gt;0,C49/C52,"")</f>
        <v>-0.43005444444444435</v>
      </c>
      <c r="D54" s="19">
        <f>IF(D52&gt;0,D49/D52,"")</f>
        <v>-0.11445106666666657</v>
      </c>
      <c r="E54" s="19">
        <f>IF(E52&gt;0,E49/E52,"")</f>
        <v>0.22266533511111125</v>
      </c>
      <c r="F54" s="19">
        <f>IF(F52&gt;0,F49/F52,"")</f>
        <v>0.5821552818488891</v>
      </c>
      <c r="G54" s="19">
        <f>IF(G52&gt;0,G49/G52,"")</f>
        <v>0.964913715345067</v>
      </c>
      <c r="H54" s="19">
        <f>IF(H52&gt;0,H49/H52,"")</f>
        <v>1.371871375069981</v>
      </c>
      <c r="I54" s="19">
        <f>IF(I52&gt;0,I49/I52,"")</f>
        <v>1.80399623007278</v>
      </c>
      <c r="J54" s="19">
        <f>IF(J52&gt;0,J49/J52,"")</f>
        <v>2.2622949681645808</v>
      </c>
      <c r="K54" s="19">
        <f>IF(K52&gt;0,K49/K52,"")</f>
        <v>2.747814544668942</v>
      </c>
      <c r="L54" s="19">
        <f>IF(L52&gt;0,L49/L52,"")</f>
        <v>3.261643793122366</v>
      </c>
      <c r="M54" s="19">
        <f>IF(M52&gt;0,M49/M52,"")</f>
        <v>3.8049151004028166</v>
      </c>
      <c r="N54" s="20">
        <f>IF(N52&gt;0,N49/N52,"")</f>
        <v>3.8049151004028166</v>
      </c>
      <c r="O54" s="9"/>
    </row>
    <row r="55" ht="25" customHeight="1">
      <c r="A55" s="21" t="inlineStr">
        <is>
          <t xml:space="preserve">Маржа чистой прибыли</t>
        </is>
      </c>
      <c r="B55" s="22">
        <f>IF(B8&gt;0,B40/B8,"")</f>
        <v>0.2908823529411765</v>
      </c>
      <c r="C55" s="22">
        <f>IF(C8&gt;0,C40/C8,"")</f>
        <v>0.30219457013574663</v>
      </c>
      <c r="D55" s="22">
        <f>IF(D8&gt;0,D40/D8,"")</f>
        <v>0.31307170205360246</v>
      </c>
      <c r="E55" s="22">
        <f>IF(E8&gt;0,E40/E8,"")</f>
        <v>0.32353048274384855</v>
      </c>
      <c r="F55" s="22">
        <f>IF(F8&gt;0,F40/F8,"")</f>
        <v>0.333587002638316</v>
      </c>
      <c r="G55" s="22">
        <f>IF(G8&gt;0,G40/G8,"")</f>
        <v>0.343256733306073</v>
      </c>
      <c r="H55" s="22">
        <f>IF(H8&gt;0,H40/H8,"")</f>
        <v>0.35255455125583957</v>
      </c>
      <c r="I55" s="22">
        <f>IF(I8&gt;0,I40/I8,"")</f>
        <v>0.36149476082292253</v>
      </c>
      <c r="J55" s="22">
        <f>IF(J8&gt;0,J40/J8,"")</f>
        <v>0.3700911161758872</v>
      </c>
      <c r="K55" s="22">
        <f>IF(K8&gt;0,K40/K8,"")</f>
        <v>0.37835684247681467</v>
      </c>
      <c r="L55" s="22">
        <f>IF(L8&gt;0,L40/L8,"")</f>
        <v>0.38630465622770643</v>
      </c>
      <c r="M55" s="22">
        <f>IF(M8&gt;0,M40/M8,"")</f>
        <v>0.3939467848343331</v>
      </c>
      <c r="N55" s="20">
        <f>IF(N8&gt;0,N40/N8,"")</f>
        <v>0.3501099787550945</v>
      </c>
      <c r="O55" s="8"/>
    </row>
    <row r="56" ht="25" customHeight="1">
      <c r="A56" s="18" t="inlineStr">
        <is>
          <t xml:space="preserve">CAC: стоимость клиента</t>
        </is>
      </c>
      <c r="B56" s="12">
        <f>IF(B23&gt;0,B21/B23,"")</f>
        <v>7500</v>
      </c>
      <c r="C56" s="12">
        <f>IF(C23&gt;0,C21/C23,"")</f>
        <v>7500</v>
      </c>
      <c r="D56" s="12">
        <f>IF(D23&gt;0,D21/D23,"")</f>
        <v>7500</v>
      </c>
      <c r="E56" s="12">
        <f>IF(E23&gt;0,E21/E23,"")</f>
        <v>7500</v>
      </c>
      <c r="F56" s="12">
        <f>IF(F23&gt;0,F21/F23,"")</f>
        <v>7500</v>
      </c>
      <c r="G56" s="12">
        <f>IF(G23&gt;0,G21/G23,"")</f>
        <v>7500</v>
      </c>
      <c r="H56" s="12">
        <f>IF(H23&gt;0,H21/H23,"")</f>
        <v>7500</v>
      </c>
      <c r="I56" s="12">
        <f>IF(I23&gt;0,I21/I23,"")</f>
        <v>7500</v>
      </c>
      <c r="J56" s="12">
        <f>IF(J23&gt;0,J21/J23,"")</f>
        <v>7500</v>
      </c>
      <c r="K56" s="12">
        <f>IF(K23&gt;0,K21/K23,"")</f>
        <v>7500</v>
      </c>
      <c r="L56" s="12">
        <f>IF(L23&gt;0,L21/L23,"")</f>
        <v>7500</v>
      </c>
      <c r="M56" s="12">
        <f>IF(M23&gt;0,M21/M23,"")</f>
        <v>7500</v>
      </c>
      <c r="N56" s="11">
        <f>IF(N23&gt;0,N21/N23,"")</f>
        <v>7500</v>
      </c>
      <c r="O56" s="9"/>
    </row>
    <row r="57" ht="25" customHeight="1">
      <c r="A57" s="21" t="inlineStr">
        <is>
          <t xml:space="preserve">CPL: стоимость заявки</t>
        </is>
      </c>
      <c r="B57" s="10">
        <f>IF(B22&gt;0,B21/B22,"")</f>
        <v>1500</v>
      </c>
      <c r="C57" s="10">
        <f>IF(C22&gt;0,C21/C22,"")</f>
        <v>1500</v>
      </c>
      <c r="D57" s="10">
        <f>IF(D22&gt;0,D21/D22,"")</f>
        <v>1500</v>
      </c>
      <c r="E57" s="10">
        <f>IF(E22&gt;0,E21/E22,"")</f>
        <v>1500</v>
      </c>
      <c r="F57" s="10">
        <f>IF(F22&gt;0,F21/F22,"")</f>
        <v>1500</v>
      </c>
      <c r="G57" s="10">
        <f>IF(G22&gt;0,G21/G22,"")</f>
        <v>1500</v>
      </c>
      <c r="H57" s="10">
        <f>IF(H22&gt;0,H21/H22,"")</f>
        <v>1500</v>
      </c>
      <c r="I57" s="10">
        <f>IF(I22&gt;0,I21/I22,"")</f>
        <v>1500</v>
      </c>
      <c r="J57" s="10">
        <f>IF(J22&gt;0,J21/J22,"")</f>
        <v>1500</v>
      </c>
      <c r="K57" s="10">
        <f>IF(K22&gt;0,K21/K22,"")</f>
        <v>1500</v>
      </c>
      <c r="L57" s="10">
        <f>IF(L22&gt;0,L21/L22,"")</f>
        <v>1500</v>
      </c>
      <c r="M57" s="10">
        <f>IF(M22&gt;0,M21/M22,"")</f>
        <v>1500</v>
      </c>
      <c r="N57" s="11">
        <f>IF(N22&gt;0,N21/N22,"")</f>
        <v>1500</v>
      </c>
      <c r="O57" s="8"/>
    </row>
    <row r="58" ht="25" customHeight="1">
      <c r="A58" s="18" t="inlineStr">
        <is>
          <t xml:space="preserve">ROAS: рекламная выручка / бюджет</t>
        </is>
      </c>
      <c r="B58" s="23">
        <f>IF(B21&gt;0,B24/B21,"")</f>
        <v>1.1333333333333333</v>
      </c>
      <c r="C58" s="23">
        <f>IF(C21&gt;0,C24/C21,"")</f>
        <v>1.1333333333333333</v>
      </c>
      <c r="D58" s="23">
        <f>IF(D21&gt;0,D24/D21,"")</f>
        <v>1.1333333333333333</v>
      </c>
      <c r="E58" s="23">
        <f>IF(E21&gt;0,E24/E21,"")</f>
        <v>1.1333333333333333</v>
      </c>
      <c r="F58" s="23">
        <f>IF(F21&gt;0,F24/F21,"")</f>
        <v>1.1333333333333333</v>
      </c>
      <c r="G58" s="23">
        <f>IF(G21&gt;0,G24/G21,"")</f>
        <v>1.1333333333333333</v>
      </c>
      <c r="H58" s="23">
        <f>IF(H21&gt;0,H24/H21,"")</f>
        <v>1.1333333333333333</v>
      </c>
      <c r="I58" s="23">
        <f>IF(I21&gt;0,I24/I21,"")</f>
        <v>1.1333333333333333</v>
      </c>
      <c r="J58" s="23">
        <f>IF(J21&gt;0,J24/J21,"")</f>
        <v>1.1333333333333333</v>
      </c>
      <c r="K58" s="23">
        <f>IF(K21&gt;0,K24/K21,"")</f>
        <v>1.1333333333333333</v>
      </c>
      <c r="L58" s="23">
        <f>IF(L21&gt;0,L24/L21,"")</f>
        <v>1.1333333333333333</v>
      </c>
      <c r="M58" s="23">
        <f>IF(M21&gt;0,M24/M21,"")</f>
        <v>1.1333333333333333</v>
      </c>
      <c r="N58" s="24">
        <f>IF(N21&gt;0,N24/N21,"")</f>
        <v>1.1333333333333333</v>
      </c>
      <c r="O58" s="9"/>
    </row>
    <row r="59" ht="25" customHeight="1">
      <c r="A59" s="21" t="inlineStr">
        <is>
          <t xml:space="preserve">Стартовый остаток</t>
        </is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11">
        <f>('Вводные'!B10+'Вводные'!B11+'Вводные'!B14-'Вводные'!B12)</f>
        <v>0</v>
      </c>
      <c r="O59" s="8"/>
    </row>
    <row r="60" ht="55" customHeight="1">
      <c r="A60" s="18" t="inlineStr">
        <is>
          <t xml:space="preserve">Дополнительное финансирование</t>
        </is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11">
        <f>MAX(0,-MIN(('Вводные'!B10+'Вводные'!B11+'Вводные'!B14-'Вводные'!B12),B48:M48))</f>
        <v>0</v>
      </c>
      <c r="O60" s="9" t="inlineStr">
        <is>
          <t xml:space="preserve">По минимуму остатка на старте и концах месяцев; внутримесячные разрывы не оцениваются.</t>
        </is>
      </c>
    </row>
    <row r="61" ht="55" customHeight="1">
      <c r="A61" s="21" t="inlineStr">
        <is>
          <t xml:space="preserve">Безубыточная выручка М1</t>
        </is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11">
        <f>IF((1-IF('Вводные'!B4="manual",'Вводные'!B5/100,IF(B8&gt;0,B9/B8,1))-(IF(AND('Вводные'!B68="percent",'Вводные'!B71=1),'Вводные'!B69/100,0)+IF(AND('Вводные'!B74="percent",'Вводные'!B77=1),'Вводные'!B75/100,0)+IF(AND('Вводные'!B80="percent",'Вводные'!B83=1),'Вводные'!B81/100,0)+IF('Вводные'!B65=1,'Вводные'!B59/100,0)+0)-IF('Вводные'!B6="revenue",'Вводные'!B7/100,0))&gt;0,(B29-B8*(IF(AND('Вводные'!B68="percent",'Вводные'!B71=1),'Вводные'!B69/100,0)+IF(AND('Вводные'!B74="percent",'Вводные'!B77=1),'Вводные'!B75/100,0)+IF(AND('Вводные'!B80="percent",'Вводные'!B83=1),'Вводные'!B81/100,0)+IF('Вводные'!B65=1,'Вводные'!B59/100,0)+0)+B32+B35)/(1-IF('Вводные'!B4="manual",'Вводные'!B5/100,IF(B8&gt;0,B9/B8,1))-(IF(AND('Вводные'!B68="percent",'Вводные'!B71=1),'Вводные'!B69/100,0)+IF(AND('Вводные'!B74="percent",'Вводные'!B77=1),'Вводные'!B75/100,0)+IF(AND('Вводные'!B80="percent",'Вводные'!B83=1),'Вводные'!B81/100,0)+IF('Вводные'!B65=1,'Вводные'!B59/100,0)+0)-IF('Вводные'!B6="revenue",'Вводные'!B7/100,0)),"")</f>
        <v>1282051.282051282</v>
      </c>
      <c r="O61" s="8" t="inlineStr">
        <is>
          <t xml:space="preserve">При структуре затрат и продаж первого месяца, включая амортизацию и проценты.</t>
        </is>
      </c>
    </row>
    <row r="62" ht="25" customHeight="1">
      <c r="A62" s="18" t="inlineStr">
        <is>
          <t xml:space="preserve">Первое покрытие вложений, месяц</t>
        </is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17">
        <f>IF(('Вводные'!B12)=0,0,IF(B49&gt;=0,1,IF(C49&gt;=0,2,IF(D49&gt;=0,3,IF(E49&gt;=0,4,IF(F49&gt;=0,5,IF(G49&gt;=0,6,IF(H49&gt;=0,7,IF(I49&gt;=0,8,IF(J49&gt;=0,9,IF(K49&gt;=0,10,IF(L49&gt;=0,11,IF(M49&gt;=0,12,"Не достигнуто")))))))))))))</f>
        <v>4</v>
      </c>
      <c r="O62" s="9"/>
    </row>
    <row r="63" ht="30" customHeight="1">
      <c r="A63" s="8" t="inlineStr">
        <is>
          <t xml:space="preserve">Источник: введённые пользователем допущения. Начальные данные — пример, не рыночный прогноз.</t>
        </is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17"/>
      <c r="O63" s="8"/>
    </row>
    <row r="64" ht="30" customHeight="1">
      <c r="A64" s="9" t="inlineStr">
        <is>
          <t xml:space="preserve">Выручка и затраты без НДС. Налоги и начисления вводятся пользователем. Без льгот и переноса убытков.</t>
        </is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17"/>
      <c r="O64" s="9"/>
    </row>
    <row r="65" ht="30" customHeight="1">
      <c r="A65" s="8" t="inlineStr">
        <is>
          <t xml:space="preserve">Кредит и взнос до М1. Аннуитет с М1, без комиссий и досрочных погашений.</t>
        </is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17"/>
      <c r="O65" s="8"/>
    </row>
    <row r="66" ht="30" customHeight="1">
      <c r="A66" s="9" t="inlineStr">
        <is>
          <t xml:space="preserve">Задержки оплаты: целые месяцы. Начальные дебиторская и кредиторская задолженности — 0.</t>
        </is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17"/>
      <c r="O66" s="9"/>
    </row>
    <row r="67" ht="30" customHeight="1">
      <c r="A67" s="8" t="inlineStr">
        <is>
          <t xml:space="preserve">Оценка рекламной выручки не добавляется к обороту. Укажите эти продажи в плане выручки.</t>
        </is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17"/>
      <c r="O67" s="8"/>
    </row>
    <row r="68" ht="30" customHeight="1">
      <c r="A68" s="9" t="inlineStr">
        <is>
          <t xml:space="preserve">Редактируйте значения на листе «Вводные». Формулы на листе «Модель» пересчитаются в Excel.</t>
        </is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17"/>
      <c r="O68" s="9"/>
    </row>
  </sheetData>
  <mergeCells count="8">
    <mergeCell ref="A1:O1"/>
    <mergeCell ref="A2:O2"/>
    <mergeCell ref="A63:O63"/>
    <mergeCell ref="A64:O64"/>
    <mergeCell ref="A65:O65"/>
    <mergeCell ref="A66:O66"/>
    <mergeCell ref="A67:O67"/>
    <mergeCell ref="A68:O68"/>
  </mergeCells>
</worksheet>
</file>

<file path=xl/worksheets/sheet2.xml><?xml version="1.0" encoding="utf-8"?>
<worksheet xmlns="http://schemas.openxmlformats.org/spreadsheetml/2006/main">
  <sheetViews>
    <sheetView workbookViewId="0" showGridLines="0">
      <pane xSplit="1" ySplit="3" topLeftCell="B4" activePane="bottomRight" state="frozen"/>
    </sheetView>
  </sheetViews>
  <cols>
    <col min="1" max="1" width="75" customWidth="1"/>
    <col min="2" max="2" width="26" customWidth="1"/>
    <col min="3" max="3" width="78" customWidth="1"/>
  </cols>
  <sheetData>
    <row r="1" ht="32" customHeight="1">
      <c r="A1" s="7" t="inlineStr">
        <is>
          <t xml:space="preserve">ВВОДНЫЕ / Мой бизнес</t>
        </is>
      </c>
      <c r="B1" s="8"/>
      <c r="C1" s="8"/>
    </row>
    <row r="2" ht="25" customHeight="1">
      <c r="A2" s="9" t="inlineStr">
        <is>
          <t xml:space="preserve">Редактируйте колонку B. Суммы в KZT. Проценты задаются числом: 10 = 10%.</t>
        </is>
      </c>
      <c r="B2" s="9"/>
      <c r="C2" s="9"/>
    </row>
    <row r="3" ht="25" customHeight="1">
      <c r="A3" s="7" t="inlineStr">
        <is>
          <t xml:space="preserve">Параметр</t>
        </is>
      </c>
      <c r="B3" s="7" t="inlineStr">
        <is>
          <t xml:space="preserve">Значение</t>
        </is>
      </c>
      <c r="C3" s="7" t="inlineStr">
        <is>
          <t xml:space="preserve">Пояснение</t>
        </is>
      </c>
    </row>
    <row r="4" ht="42" customHeight="1">
      <c r="A4" s="9" t="inlineStr">
        <is>
          <t xml:space="preserve">Способ ввода выручки</t>
        </is>
      </c>
      <c r="B4" s="25" t="inlineStr">
        <is>
          <t xml:space="preserve">items</t>
        </is>
      </c>
      <c r="C4" s="9" t="inlineStr">
        <is>
          <t xml:space="preserve">items — товары; manual — ручной оборот</t>
        </is>
      </c>
    </row>
    <row r="5" ht="42" customHeight="1">
      <c r="A5" s="8" t="inlineStr">
        <is>
          <t xml:space="preserve">Себестоимость ручного оборота, %</t>
        </is>
      </c>
      <c r="B5" s="25">
        <v>35</v>
      </c>
      <c r="C5" s="8" t="inlineStr">
        <is>
          <t xml:space="preserve"/>
        </is>
      </c>
    </row>
    <row r="6" ht="42" customHeight="1">
      <c r="A6" s="9" t="inlineStr">
        <is>
          <t xml:space="preserve">База условного налога</t>
        </is>
      </c>
      <c r="B6" s="25" t="inlineStr">
        <is>
          <t xml:space="preserve">profit</t>
        </is>
      </c>
      <c r="C6" s="9" t="inlineStr">
        <is>
          <t xml:space="preserve">profit — прибыль; revenue — оборот; none — без налога</t>
        </is>
      </c>
    </row>
    <row r="7" ht="42" customHeight="1">
      <c r="A7" s="8" t="inlineStr">
        <is>
          <t xml:space="preserve">Ставка налога, %</t>
        </is>
      </c>
      <c r="B7" s="25">
        <v>10</v>
      </c>
      <c r="C7" s="8" t="inlineStr">
        <is>
          <t xml:space="preserve"/>
        </is>
      </c>
    </row>
    <row r="8" ht="42" customHeight="1">
      <c r="A8" s="9" t="inlineStr">
        <is>
          <t xml:space="preserve">Оплата клиентов через, мес.</t>
        </is>
      </c>
      <c r="B8" s="25">
        <v>0</v>
      </c>
      <c r="C8" s="9" t="inlineStr">
        <is>
          <t xml:space="preserve">Целые месяцы от 0 до 12</t>
        </is>
      </c>
    </row>
    <row r="9" ht="42" customHeight="1">
      <c r="A9" s="8" t="inlineStr">
        <is>
          <t xml:space="preserve">Оплата себестоимости через, мес.</t>
        </is>
      </c>
      <c r="B9" s="25">
        <v>0</v>
      </c>
      <c r="C9" s="8" t="inlineStr">
        <is>
          <t xml:space="preserve">Целые месяцы от 0 до 12</t>
        </is>
      </c>
    </row>
    <row r="10" ht="42" customHeight="1">
      <c r="A10" s="9" t="inlineStr">
        <is>
          <t xml:space="preserve">Деньги на начало</t>
        </is>
      </c>
      <c r="B10" s="25">
        <v>0</v>
      </c>
      <c r="C10" s="9" t="inlineStr">
        <is>
          <t xml:space="preserve"/>
        </is>
      </c>
    </row>
    <row r="11" ht="42" customHeight="1">
      <c r="A11" s="8" t="inlineStr">
        <is>
          <t xml:space="preserve">Взнос собственника до М1</t>
        </is>
      </c>
      <c r="B11" s="25">
        <v>3000000</v>
      </c>
      <c r="C11" s="8" t="inlineStr">
        <is>
          <t xml:space="preserve"/>
        </is>
      </c>
    </row>
    <row r="12" ht="42" customHeight="1">
      <c r="A12" s="9" t="inlineStr">
        <is>
          <t xml:space="preserve">Вложения до М1</t>
        </is>
      </c>
      <c r="B12" s="25">
        <v>3000000</v>
      </c>
      <c r="C12" s="9" t="inlineStr">
        <is>
          <t xml:space="preserve"/>
        </is>
      </c>
    </row>
    <row r="13" ht="42" customHeight="1">
      <c r="A13" s="8" t="inlineStr">
        <is>
          <t xml:space="preserve">Амортизация начальных вложений, мес. (0 — нет)</t>
        </is>
      </c>
      <c r="B13" s="25">
        <v>36</v>
      </c>
      <c r="C13" s="8" t="inlineStr">
        <is>
          <t xml:space="preserve">0 отключает амортизацию начальных вложений</t>
        </is>
      </c>
    </row>
    <row r="14" ht="42" customHeight="1">
      <c r="A14" s="9" t="inlineStr">
        <is>
          <t xml:space="preserve">Кредит до М1</t>
        </is>
      </c>
      <c r="B14" s="25">
        <v>0</v>
      </c>
      <c r="C14" s="9" t="inlineStr">
        <is>
          <t xml:space="preserve"/>
        </is>
      </c>
    </row>
    <row r="15" ht="42" customHeight="1">
      <c r="A15" s="8" t="inlineStr">
        <is>
          <t xml:space="preserve">Годовая ставка кредита, %</t>
        </is>
      </c>
      <c r="B15" s="25">
        <v>18</v>
      </c>
      <c r="C15" s="8" t="inlineStr">
        <is>
          <t xml:space="preserve"/>
        </is>
      </c>
    </row>
    <row r="16" ht="42" customHeight="1">
      <c r="A16" s="9" t="inlineStr">
        <is>
          <t xml:space="preserve">Срок кредита, мес.</t>
        </is>
      </c>
      <c r="B16" s="25">
        <v>24</v>
      </c>
      <c r="C16" s="9" t="inlineStr">
        <is>
          <t xml:space="preserve"/>
        </is>
      </c>
    </row>
    <row r="17" ht="42" customHeight="1">
      <c r="A17" s="8" t="inlineStr">
        <is>
          <t xml:space="preserve">Дисконтирование: эффективная годовая ставка, %</t>
        </is>
      </c>
      <c r="B17" s="25">
        <v>12</v>
      </c>
      <c r="C17" s="8" t="inlineStr">
        <is>
          <t xml:space="preserve"/>
        </is>
      </c>
    </row>
    <row r="18" ht="42" customHeight="1">
      <c r="A18" s="9" t="inlineStr">
        <is>
          <t xml:space="preserve">Валовая маржа рекламных продаж, %</t>
        </is>
      </c>
      <c r="B18" s="25">
        <v>65</v>
      </c>
      <c r="C18" s="9" t="inlineStr">
        <is>
          <t xml:space="preserve"/>
        </is>
      </c>
    </row>
    <row r="19" ht="42" customHeight="1">
      <c r="A19" s="8" t="inlineStr">
        <is>
          <t xml:space="preserve">Средний собственный капитал за год</t>
        </is>
      </c>
      <c r="B19" s="25">
        <v>3000000</v>
      </c>
      <c r="C19" s="8" t="inlineStr">
        <is>
          <t xml:space="preserve"/>
        </is>
      </c>
    </row>
    <row r="20" ht="42" customHeight="1">
      <c r="A20" s="9" t="inlineStr">
        <is>
          <t xml:space="preserve">Средние активы за год</t>
        </is>
      </c>
      <c r="B20" s="25">
        <v>6000000</v>
      </c>
      <c r="C20" s="9" t="inlineStr">
        <is>
          <t xml:space="preserve"/>
        </is>
      </c>
    </row>
    <row r="21" ht="42" customHeight="1">
      <c r="A21" s="8" t="inlineStr">
        <is>
          <t xml:space="preserve">Выручка на клиента за месяц</t>
        </is>
      </c>
      <c r="B21" s="25">
        <v>8500</v>
      </c>
      <c r="C21" s="8" t="inlineStr">
        <is>
          <t xml:space="preserve"/>
        </is>
      </c>
    </row>
    <row r="22" ht="42" customHeight="1">
      <c r="A22" s="9" t="inlineStr">
        <is>
          <t xml:space="preserve">Валовая маржа клиента, %</t>
        </is>
      </c>
      <c r="B22" s="25">
        <v>65</v>
      </c>
      <c r="C22" s="9" t="inlineStr">
        <is>
          <t xml:space="preserve"/>
        </is>
      </c>
    </row>
    <row r="23" ht="42" customHeight="1">
      <c r="A23" s="8" t="inlineStr">
        <is>
          <t xml:space="preserve">Средний срок жизни клиента, мес.</t>
        </is>
      </c>
      <c r="B23" s="25">
        <v>12</v>
      </c>
      <c r="C23" s="8" t="inlineStr">
        <is>
          <t xml:space="preserve"/>
        </is>
      </c>
    </row>
    <row r="24" ht="42" customHeight="1">
      <c r="A24" s="9" t="inlineStr">
        <is>
          <t xml:space="preserve">Прочие затраты на привлечение за год, уже в расходах</t>
        </is>
      </c>
      <c r="B24" s="25">
        <v>0</v>
      </c>
      <c r="C24" s="9" t="inlineStr">
        <is>
          <t xml:space="preserve"/>
        </is>
      </c>
    </row>
    <row r="25" ht="42" customHeight="1">
      <c r="A25" s="8" t="inlineStr">
        <is>
          <t xml:space="preserve">Начальная сумма накоплений</t>
        </is>
      </c>
      <c r="B25" s="25">
        <v>100000</v>
      </c>
      <c r="C25" s="8" t="inlineStr">
        <is>
          <t xml:space="preserve"/>
        </is>
      </c>
    </row>
    <row r="26" ht="42" customHeight="1">
      <c r="A26" s="9" t="inlineStr">
        <is>
          <t xml:space="preserve">Эффективная годовая ставка накоплений, %</t>
        </is>
      </c>
      <c r="B26" s="25">
        <v>12</v>
      </c>
      <c r="C26" s="9" t="inlineStr">
        <is>
          <t xml:space="preserve"/>
        </is>
      </c>
    </row>
    <row r="27" ht="42" customHeight="1">
      <c r="A27" s="8" t="inlineStr">
        <is>
          <t xml:space="preserve">Срок накоплений, мес.</t>
        </is>
      </c>
      <c r="B27" s="25">
        <v>36</v>
      </c>
      <c r="C27" s="8" t="inlineStr">
        <is>
          <t xml:space="preserve"/>
        </is>
      </c>
    </row>
    <row r="28" ht="42" customHeight="1">
      <c r="A28" s="9" t="inlineStr">
        <is>
          <t xml:space="preserve">Пополнение в конце каждого месяца</t>
        </is>
      </c>
      <c r="B28" s="25">
        <v>0</v>
      </c>
      <c r="C28" s="9" t="inlineStr">
        <is>
          <t xml:space="preserve"/>
        </is>
      </c>
    </row>
    <row r="29" ht="42" customHeight="1">
      <c r="A29" s="8" t="inlineStr">
        <is>
          <t xml:space="preserve">Множитель сценария</t>
        </is>
      </c>
      <c r="B29" s="25">
        <v>1</v>
      </c>
      <c r="C29" s="8" t="inlineStr">
        <is>
          <t xml:space="preserve">База: 1; осторожный: 0.8; оптимистичный: 1.2</t>
        </is>
      </c>
    </row>
    <row r="30" ht="42" customHeight="1">
      <c r="A30" s="9" t="inlineStr">
        <is>
          <t xml:space="preserve">Ручной оборот · М1</t>
        </is>
      </c>
      <c r="B30" s="25">
        <v>2550000</v>
      </c>
      <c r="C30" s="9" t="inlineStr">
        <is>
          <t xml:space="preserve"/>
        </is>
      </c>
    </row>
    <row r="31" ht="42" customHeight="1">
      <c r="A31" s="8" t="inlineStr">
        <is>
          <t xml:space="preserve">Ручной оборот · М2</t>
        </is>
      </c>
      <c r="B31" s="25">
        <v>2550000</v>
      </c>
      <c r="C31" s="8" t="inlineStr">
        <is>
          <t xml:space="preserve"/>
        </is>
      </c>
    </row>
    <row r="32" ht="42" customHeight="1">
      <c r="A32" s="9" t="inlineStr">
        <is>
          <t xml:space="preserve">Ручной оборот · М3</t>
        </is>
      </c>
      <c r="B32" s="25">
        <v>2550000</v>
      </c>
      <c r="C32" s="9" t="inlineStr">
        <is>
          <t xml:space="preserve"/>
        </is>
      </c>
    </row>
    <row r="33" ht="42" customHeight="1">
      <c r="A33" s="8" t="inlineStr">
        <is>
          <t xml:space="preserve">Ручной оборот · М4</t>
        </is>
      </c>
      <c r="B33" s="25">
        <v>2550000</v>
      </c>
      <c r="C33" s="8" t="inlineStr">
        <is>
          <t xml:space="preserve"/>
        </is>
      </c>
    </row>
    <row r="34" ht="42" customHeight="1">
      <c r="A34" s="9" t="inlineStr">
        <is>
          <t xml:space="preserve">Ручной оборот · М5</t>
        </is>
      </c>
      <c r="B34" s="25">
        <v>2550000</v>
      </c>
      <c r="C34" s="9" t="inlineStr">
        <is>
          <t xml:space="preserve"/>
        </is>
      </c>
    </row>
    <row r="35" ht="42" customHeight="1">
      <c r="A35" s="8" t="inlineStr">
        <is>
          <t xml:space="preserve">Ручной оборот · М6</t>
        </is>
      </c>
      <c r="B35" s="25">
        <v>2550000</v>
      </c>
      <c r="C35" s="8" t="inlineStr">
        <is>
          <t xml:space="preserve"/>
        </is>
      </c>
    </row>
    <row r="36" ht="42" customHeight="1">
      <c r="A36" s="9" t="inlineStr">
        <is>
          <t xml:space="preserve">Ручной оборот · М7</t>
        </is>
      </c>
      <c r="B36" s="25">
        <v>2550000</v>
      </c>
      <c r="C36" s="9" t="inlineStr">
        <is>
          <t xml:space="preserve"/>
        </is>
      </c>
    </row>
    <row r="37" ht="42" customHeight="1">
      <c r="A37" s="8" t="inlineStr">
        <is>
          <t xml:space="preserve">Ручной оборот · М8</t>
        </is>
      </c>
      <c r="B37" s="25">
        <v>2550000</v>
      </c>
      <c r="C37" s="8" t="inlineStr">
        <is>
          <t xml:space="preserve"/>
        </is>
      </c>
    </row>
    <row r="38" ht="42" customHeight="1">
      <c r="A38" s="9" t="inlineStr">
        <is>
          <t xml:space="preserve">Ручной оборот · М9</t>
        </is>
      </c>
      <c r="B38" s="25">
        <v>2550000</v>
      </c>
      <c r="C38" s="9" t="inlineStr">
        <is>
          <t xml:space="preserve"/>
        </is>
      </c>
    </row>
    <row r="39" ht="42" customHeight="1">
      <c r="A39" s="8" t="inlineStr">
        <is>
          <t xml:space="preserve">Ручной оборот · М10</t>
        </is>
      </c>
      <c r="B39" s="25">
        <v>2550000</v>
      </c>
      <c r="C39" s="8" t="inlineStr">
        <is>
          <t xml:space="preserve"/>
        </is>
      </c>
    </row>
    <row r="40" ht="42" customHeight="1">
      <c r="A40" s="9" t="inlineStr">
        <is>
          <t xml:space="preserve">Ручной оборот · М11</t>
        </is>
      </c>
      <c r="B40" s="25">
        <v>2550000</v>
      </c>
      <c r="C40" s="9" t="inlineStr">
        <is>
          <t xml:space="preserve"/>
        </is>
      </c>
    </row>
    <row r="41" ht="42" customHeight="1">
      <c r="A41" s="8" t="inlineStr">
        <is>
          <t xml:space="preserve">Ручной оборот · М12</t>
        </is>
      </c>
      <c r="B41" s="25">
        <v>2550000</v>
      </c>
      <c r="C41" s="8" t="inlineStr">
        <is>
          <t xml:space="preserve"/>
        </is>
      </c>
    </row>
    <row r="42" ht="42" customHeight="1">
      <c r="A42" s="9" t="inlineStr">
        <is>
          <t xml:space="preserve">Основной продукт · Название</t>
        </is>
      </c>
      <c r="B42" s="25" t="inlineStr">
        <is>
          <t xml:space="preserve">Основной продукт</t>
        </is>
      </c>
      <c r="C42" s="9" t="inlineStr">
        <is>
          <t xml:space="preserve"/>
        </is>
      </c>
    </row>
    <row r="43" ht="42" customHeight="1">
      <c r="A43" s="8" t="inlineStr">
        <is>
          <t xml:space="preserve">Основной продукт · Количество в первый активный месяц</t>
        </is>
      </c>
      <c r="B43" s="25">
        <v>300</v>
      </c>
      <c r="C43" s="8" t="inlineStr">
        <is>
          <t xml:space="preserve"/>
        </is>
      </c>
    </row>
    <row r="44" ht="42" customHeight="1">
      <c r="A44" s="9" t="inlineStr">
        <is>
          <t xml:space="preserve">Основной продукт · Цена</t>
        </is>
      </c>
      <c r="B44" s="25">
        <v>8500</v>
      </c>
      <c r="C44" s="9" t="inlineStr">
        <is>
          <t xml:space="preserve"/>
        </is>
      </c>
    </row>
    <row r="45" ht="42" customHeight="1">
      <c r="A45" s="8" t="inlineStr">
        <is>
          <t xml:space="preserve">Основной продукт · Рост в месяц, %</t>
        </is>
      </c>
      <c r="B45" s="25">
        <v>4</v>
      </c>
      <c r="C45" s="8" t="inlineStr">
        <is>
          <t xml:space="preserve"/>
        </is>
      </c>
    </row>
    <row r="46" ht="42" customHeight="1">
      <c r="A46" s="9" t="inlineStr">
        <is>
          <t xml:space="preserve">Основной продукт · Себестоимость, % выручки</t>
        </is>
      </c>
      <c r="B46" s="25">
        <v>35</v>
      </c>
      <c r="C46" s="9" t="inlineStr">
        <is>
          <t xml:space="preserve"/>
        </is>
      </c>
    </row>
    <row r="47" ht="42" customHeight="1">
      <c r="A47" s="8" t="inlineStr">
        <is>
          <t xml:space="preserve">Основной продукт · С месяца</t>
        </is>
      </c>
      <c r="B47" s="25">
        <v>1</v>
      </c>
      <c r="C47" s="8" t="inlineStr">
        <is>
          <t xml:space="preserve">Номер периода: 1 — М1, …, 12 — М12</t>
        </is>
      </c>
    </row>
    <row r="48" ht="42" customHeight="1">
      <c r="A48" s="9" t="inlineStr">
        <is>
          <t xml:space="preserve">Основной продукт · По месяц</t>
        </is>
      </c>
      <c r="B48" s="25">
        <v>12</v>
      </c>
      <c r="C48" s="9" t="inlineStr">
        <is>
          <t xml:space="preserve">Номер периода: 1 — М1, …, 12 — М12</t>
        </is>
      </c>
    </row>
    <row r="49" ht="42" customHeight="1">
      <c r="A49" s="8" t="inlineStr">
        <is>
          <t xml:space="preserve">Менеджер · Название</t>
        </is>
      </c>
      <c r="B49" s="25" t="inlineStr">
        <is>
          <t xml:space="preserve">Менеджер</t>
        </is>
      </c>
      <c r="C49" s="8" t="inlineStr">
        <is>
          <t xml:space="preserve"/>
        </is>
      </c>
    </row>
    <row r="50" ht="42" customHeight="1">
      <c r="A50" s="9" t="inlineStr">
        <is>
          <t xml:space="preserve">Менеджер · Количество сотрудников</t>
        </is>
      </c>
      <c r="B50" s="25">
        <v>1</v>
      </c>
      <c r="C50" s="9" t="inlineStr">
        <is>
          <t xml:space="preserve"/>
        </is>
      </c>
    </row>
    <row r="51" ht="42" customHeight="1">
      <c r="A51" s="8" t="inlineStr">
        <is>
          <t xml:space="preserve">Менеджер · Оклад одного / месяц</t>
        </is>
      </c>
      <c r="B51" s="25">
        <v>300000</v>
      </c>
      <c r="C51" s="8" t="inlineStr">
        <is>
          <t xml:space="preserve"/>
        </is>
      </c>
    </row>
    <row r="52" ht="42" customHeight="1">
      <c r="A52" s="9" t="inlineStr">
        <is>
          <t xml:space="preserve">Менеджер · Бонус одного / месяц</t>
        </is>
      </c>
      <c r="B52" s="25">
        <v>0</v>
      </c>
      <c r="C52" s="9" t="inlineStr">
        <is>
          <t xml:space="preserve"/>
        </is>
      </c>
    </row>
    <row r="53" ht="42" customHeight="1">
      <c r="A53" s="8" t="inlineStr">
        <is>
          <t xml:space="preserve">Менеджер · Начисления работодателя, %</t>
        </is>
      </c>
      <c r="B53" s="25">
        <v>15</v>
      </c>
      <c r="C53" s="8" t="inlineStr">
        <is>
          <t xml:space="preserve"/>
        </is>
      </c>
    </row>
    <row r="54" ht="42" customHeight="1">
      <c r="A54" s="9" t="inlineStr">
        <is>
          <t xml:space="preserve">Менеджер · Рост в месяц, %</t>
        </is>
      </c>
      <c r="B54" s="25">
        <v>0</v>
      </c>
      <c r="C54" s="9" t="inlineStr">
        <is>
          <t xml:space="preserve"/>
        </is>
      </c>
    </row>
    <row r="55" ht="42" customHeight="1">
      <c r="A55" s="8" t="inlineStr">
        <is>
          <t xml:space="preserve">Менеджер · С месяца</t>
        </is>
      </c>
      <c r="B55" s="25">
        <v>1</v>
      </c>
      <c r="C55" s="8" t="inlineStr">
        <is>
          <t xml:space="preserve">Номер периода: 1 — М1, …, 12 — М12</t>
        </is>
      </c>
    </row>
    <row r="56" ht="42" customHeight="1">
      <c r="A56" s="9" t="inlineStr">
        <is>
          <t xml:space="preserve">Менеджер · По месяц</t>
        </is>
      </c>
      <c r="B56" s="25">
        <v>12</v>
      </c>
      <c r="C56" s="9" t="inlineStr">
        <is>
          <t xml:space="preserve">Номер периода: 1 — М1, …, 12 — М12</t>
        </is>
      </c>
    </row>
    <row r="57" ht="42" customHeight="1">
      <c r="A57" s="8" t="inlineStr">
        <is>
          <t xml:space="preserve">Реклама · Название</t>
        </is>
      </c>
      <c r="B57" s="25" t="inlineStr">
        <is>
          <t xml:space="preserve">Реклама</t>
        </is>
      </c>
      <c r="C57" s="8" t="inlineStr">
        <is>
          <t xml:space="preserve"/>
        </is>
      </c>
    </row>
    <row r="58" ht="42" customHeight="1">
      <c r="A58" s="9" t="inlineStr">
        <is>
          <t xml:space="preserve">Реклама · Бюджет / месяц</t>
        </is>
      </c>
      <c r="B58" s="25">
        <v>120000</v>
      </c>
      <c r="C58" s="9" t="inlineStr">
        <is>
          <t xml:space="preserve"/>
        </is>
      </c>
    </row>
    <row r="59" ht="42" customHeight="1">
      <c r="A59" s="8" t="inlineStr">
        <is>
          <t xml:space="preserve">Реклама · Дополнительно от выручки, %</t>
        </is>
      </c>
      <c r="B59" s="25">
        <v>0</v>
      </c>
      <c r="C59" s="8" t="inlineStr">
        <is>
          <t xml:space="preserve"/>
        </is>
      </c>
    </row>
    <row r="60" ht="42" customHeight="1">
      <c r="A60" s="9" t="inlineStr">
        <is>
          <t xml:space="preserve">Реклама · Рост в месяц, %</t>
        </is>
      </c>
      <c r="B60" s="25">
        <v>0</v>
      </c>
      <c r="C60" s="9" t="inlineStr">
        <is>
          <t xml:space="preserve"/>
        </is>
      </c>
    </row>
    <row r="61" ht="42" customHeight="1">
      <c r="A61" s="8" t="inlineStr">
        <is>
          <t xml:space="preserve">Реклама · Цена клика</t>
        </is>
      </c>
      <c r="B61" s="25">
        <v>150</v>
      </c>
      <c r="C61" s="8" t="inlineStr">
        <is>
          <t xml:space="preserve"/>
        </is>
      </c>
    </row>
    <row r="62" ht="42" customHeight="1">
      <c r="A62" s="9" t="inlineStr">
        <is>
          <t xml:space="preserve">Реклама · Клики → заявки, %</t>
        </is>
      </c>
      <c r="B62" s="25">
        <v>10</v>
      </c>
      <c r="C62" s="9" t="inlineStr">
        <is>
          <t xml:space="preserve"/>
        </is>
      </c>
    </row>
    <row r="63" ht="42" customHeight="1">
      <c r="A63" s="8" t="inlineStr">
        <is>
          <t xml:space="preserve">Реклама · Заявки → клиенты, %</t>
        </is>
      </c>
      <c r="B63" s="25">
        <v>20</v>
      </c>
      <c r="C63" s="8" t="inlineStr">
        <is>
          <t xml:space="preserve"/>
        </is>
      </c>
    </row>
    <row r="64" ht="42" customHeight="1">
      <c r="A64" s="9" t="inlineStr">
        <is>
          <t xml:space="preserve">Реклама · Средний чек клиента</t>
        </is>
      </c>
      <c r="B64" s="25">
        <v>8500</v>
      </c>
      <c r="C64" s="9" t="inlineStr">
        <is>
          <t xml:space="preserve"/>
        </is>
      </c>
    </row>
    <row r="65" ht="42" customHeight="1">
      <c r="A65" s="8" t="inlineStr">
        <is>
          <t xml:space="preserve">Реклама · С месяца</t>
        </is>
      </c>
      <c r="B65" s="25">
        <v>1</v>
      </c>
      <c r="C65" s="8" t="inlineStr">
        <is>
          <t xml:space="preserve">Номер периода: 1 — М1, …, 12 — М12</t>
        </is>
      </c>
    </row>
    <row r="66" ht="42" customHeight="1">
      <c r="A66" s="9" t="inlineStr">
        <is>
          <t xml:space="preserve">Реклама · По месяц</t>
        </is>
      </c>
      <c r="B66" s="25">
        <v>12</v>
      </c>
      <c r="C66" s="9" t="inlineStr">
        <is>
          <t xml:space="preserve">Номер периода: 1 — М1, …, 12 — М12</t>
        </is>
      </c>
    </row>
    <row r="67" ht="42" customHeight="1">
      <c r="A67" s="8" t="inlineStr">
        <is>
          <t xml:space="preserve">Аренда · Название</t>
        </is>
      </c>
      <c r="B67" s="25" t="inlineStr">
        <is>
          <t xml:space="preserve">Аренда</t>
        </is>
      </c>
      <c r="C67" s="8" t="inlineStr">
        <is>
          <t xml:space="preserve"/>
        </is>
      </c>
    </row>
    <row r="68" ht="42" customHeight="1">
      <c r="A68" s="9" t="inlineStr">
        <is>
          <t xml:space="preserve">Аренда · Способ расчёта</t>
        </is>
      </c>
      <c r="B68" s="25" t="inlineStr">
        <is>
          <t xml:space="preserve">fixed</t>
        </is>
      </c>
      <c r="C68" s="9" t="inlineStr">
        <is>
          <t xml:space="preserve">fixed — сумма; percent — % оборота; once — один раз</t>
        </is>
      </c>
    </row>
    <row r="69" ht="42" customHeight="1">
      <c r="A69" s="8" t="inlineStr">
        <is>
          <t xml:space="preserve">Аренда · Сумма или ставка</t>
        </is>
      </c>
      <c r="B69" s="25">
        <v>250000</v>
      </c>
      <c r="C69" s="8" t="inlineStr">
        <is>
          <t xml:space="preserve"/>
        </is>
      </c>
    </row>
    <row r="70" ht="42" customHeight="1">
      <c r="A70" s="9" t="inlineStr">
        <is>
          <t xml:space="preserve">Аренда · Рост в месяц, %</t>
        </is>
      </c>
      <c r="B70" s="25">
        <v>0</v>
      </c>
      <c r="C70" s="9" t="inlineStr">
        <is>
          <t xml:space="preserve"/>
        </is>
      </c>
    </row>
    <row r="71" ht="42" customHeight="1">
      <c r="A71" s="8" t="inlineStr">
        <is>
          <t xml:space="preserve">Аренда · С месяца</t>
        </is>
      </c>
      <c r="B71" s="25">
        <v>1</v>
      </c>
      <c r="C71" s="8" t="inlineStr">
        <is>
          <t xml:space="preserve">Номер периода: 1 — М1, …, 12 — М12</t>
        </is>
      </c>
    </row>
    <row r="72" ht="42" customHeight="1">
      <c r="A72" s="9" t="inlineStr">
        <is>
          <t xml:space="preserve">Аренда · По месяц</t>
        </is>
      </c>
      <c r="B72" s="25">
        <v>12</v>
      </c>
      <c r="C72" s="9" t="inlineStr">
        <is>
          <t xml:space="preserve">Номер периода: 1 — М1, …, 12 — М12</t>
        </is>
      </c>
    </row>
    <row r="73" ht="42" customHeight="1">
      <c r="A73" s="8" t="inlineStr">
        <is>
          <t xml:space="preserve">Сервисы и связь · Название</t>
        </is>
      </c>
      <c r="B73" s="25" t="inlineStr">
        <is>
          <t xml:space="preserve">Сервисы и связь</t>
        </is>
      </c>
      <c r="C73" s="8" t="inlineStr">
        <is>
          <t xml:space="preserve"/>
        </is>
      </c>
    </row>
    <row r="74" ht="42" customHeight="1">
      <c r="A74" s="9" t="inlineStr">
        <is>
          <t xml:space="preserve">Сервисы и связь · Способ расчёта</t>
        </is>
      </c>
      <c r="B74" s="25" t="inlineStr">
        <is>
          <t xml:space="preserve">fixed</t>
        </is>
      </c>
      <c r="C74" s="9" t="inlineStr">
        <is>
          <t xml:space="preserve">fixed — сумма; percent — % оборота; once — один раз</t>
        </is>
      </c>
    </row>
    <row r="75" ht="42" customHeight="1">
      <c r="A75" s="8" t="inlineStr">
        <is>
          <t xml:space="preserve">Сервисы и связь · Сумма или ставка</t>
        </is>
      </c>
      <c r="B75" s="25">
        <v>35000</v>
      </c>
      <c r="C75" s="8" t="inlineStr">
        <is>
          <t xml:space="preserve"/>
        </is>
      </c>
    </row>
    <row r="76" ht="42" customHeight="1">
      <c r="A76" s="9" t="inlineStr">
        <is>
          <t xml:space="preserve">Сервисы и связь · Рост в месяц, %</t>
        </is>
      </c>
      <c r="B76" s="25">
        <v>0</v>
      </c>
      <c r="C76" s="9" t="inlineStr">
        <is>
          <t xml:space="preserve"/>
        </is>
      </c>
    </row>
    <row r="77" ht="42" customHeight="1">
      <c r="A77" s="8" t="inlineStr">
        <is>
          <t xml:space="preserve">Сервисы и связь · С месяца</t>
        </is>
      </c>
      <c r="B77" s="25">
        <v>1</v>
      </c>
      <c r="C77" s="8" t="inlineStr">
        <is>
          <t xml:space="preserve">Номер периода: 1 — М1, …, 12 — М12</t>
        </is>
      </c>
    </row>
    <row r="78" ht="42" customHeight="1">
      <c r="A78" s="9" t="inlineStr">
        <is>
          <t xml:space="preserve">Сервисы и связь · По месяц</t>
        </is>
      </c>
      <c r="B78" s="25">
        <v>12</v>
      </c>
      <c r="C78" s="9" t="inlineStr">
        <is>
          <t xml:space="preserve">Номер периода: 1 — М1, …, 12 — М12</t>
        </is>
      </c>
    </row>
    <row r="79" ht="42" customHeight="1">
      <c r="A79" s="8" t="inlineStr">
        <is>
          <t xml:space="preserve">Новая статья · Название</t>
        </is>
      </c>
      <c r="B79" s="25" t="inlineStr">
        <is>
          <t xml:space="preserve">Новая статья</t>
        </is>
      </c>
      <c r="C79" s="8" t="inlineStr">
        <is>
          <t xml:space="preserve"/>
        </is>
      </c>
    </row>
    <row r="80" ht="42" customHeight="1">
      <c r="A80" s="9" t="inlineStr">
        <is>
          <t xml:space="preserve">Новая статья · Способ расчёта</t>
        </is>
      </c>
      <c r="B80" s="25" t="inlineStr">
        <is>
          <t xml:space="preserve">fixed</t>
        </is>
      </c>
      <c r="C80" s="9" t="inlineStr">
        <is>
          <t xml:space="preserve">fixed — сумма; percent — % оборота; once — один раз</t>
        </is>
      </c>
    </row>
    <row r="81" ht="42" customHeight="1">
      <c r="A81" s="8" t="inlineStr">
        <is>
          <t xml:space="preserve">Новая статья · Сумма или ставка</t>
        </is>
      </c>
      <c r="B81" s="25">
        <v>0</v>
      </c>
      <c r="C81" s="8" t="inlineStr">
        <is>
          <t xml:space="preserve"/>
        </is>
      </c>
    </row>
    <row r="82" ht="42" customHeight="1">
      <c r="A82" s="9" t="inlineStr">
        <is>
          <t xml:space="preserve">Новая статья · Рост в месяц, %</t>
        </is>
      </c>
      <c r="B82" s="25">
        <v>0</v>
      </c>
      <c r="C82" s="9" t="inlineStr">
        <is>
          <t xml:space="preserve"/>
        </is>
      </c>
    </row>
    <row r="83" ht="42" customHeight="1">
      <c r="A83" s="8" t="inlineStr">
        <is>
          <t xml:space="preserve">Новая статья · С месяца</t>
        </is>
      </c>
      <c r="B83" s="25">
        <v>1</v>
      </c>
      <c r="C83" s="8" t="inlineStr">
        <is>
          <t xml:space="preserve">Номер периода: 1 — М1, …, 12 — М12</t>
        </is>
      </c>
    </row>
    <row r="84" ht="42" customHeight="1">
      <c r="A84" s="9" t="inlineStr">
        <is>
          <t xml:space="preserve">Новая статья · По месяц</t>
        </is>
      </c>
      <c r="B84" s="25">
        <v>12</v>
      </c>
      <c r="C84" s="9" t="inlineStr">
        <is>
          <t xml:space="preserve">Номер периода: 1 — М1, …, 12 — М12</t>
        </is>
      </c>
    </row>
  </sheetData>
  <mergeCells count="2">
    <mergeCell ref="A1:C1"/>
    <mergeCell ref="A2:C2"/>
  </mergeCells>
  <dataValidations count="75">
    <dataValidation type="list" allowBlank="0" showErrorMessage="1" sqref="B4">
      <formula1>"items,manual"</formula1>
    </dataValidation>
    <dataValidation type="decimal" operator="between" allowBlank="0" showErrorMessage="1" sqref="B5">
      <formula1>0</formula1>
      <formula2>100</formula2>
    </dataValidation>
    <dataValidation type="list" allowBlank="0" showErrorMessage="1" sqref="B6">
      <formula1>"profit,revenue,none"</formula1>
    </dataValidation>
    <dataValidation type="decimal" operator="between" allowBlank="0" showErrorMessage="1" sqref="B7">
      <formula1>0</formula1>
      <formula2>100</formula2>
    </dataValidation>
    <dataValidation type="whole" operator="between" allowBlank="0" showErrorMessage="1" sqref="B8">
      <formula1>0</formula1>
      <formula2>12</formula2>
    </dataValidation>
    <dataValidation type="whole" operator="between" allowBlank="0" showErrorMessage="1" sqref="B9">
      <formula1>0</formula1>
      <formula2>12</formula2>
    </dataValidation>
    <dataValidation type="decimal" operator="between" allowBlank="0" showErrorMessage="1" sqref="B10">
      <formula1>0</formula1>
      <formula2>1000000000000</formula2>
    </dataValidation>
    <dataValidation type="decimal" operator="between" allowBlank="0" showErrorMessage="1" sqref="B11">
      <formula1>0</formula1>
      <formula2>1000000000000</formula2>
    </dataValidation>
    <dataValidation type="decimal" operator="between" allowBlank="0" showErrorMessage="1" sqref="B12">
      <formula1>0</formula1>
      <formula2>1000000000000</formula2>
    </dataValidation>
    <dataValidation type="whole" operator="between" allowBlank="0" showErrorMessage="1" sqref="B13">
      <formula1>0</formula1>
      <formula2>600</formula2>
    </dataValidation>
    <dataValidation type="decimal" operator="between" allowBlank="0" showErrorMessage="1" sqref="B14">
      <formula1>0</formula1>
      <formula2>1000000000000</formula2>
    </dataValidation>
    <dataValidation type="decimal" operator="between" allowBlank="0" showErrorMessage="1" sqref="B15">
      <formula1>0</formula1>
      <formula2>100</formula2>
    </dataValidation>
    <dataValidation type="whole" operator="between" allowBlank="0" showErrorMessage="1" sqref="B16">
      <formula1>1</formula1>
      <formula2>600</formula2>
    </dataValidation>
    <dataValidation type="decimal" operator="between" allowBlank="0" showErrorMessage="1" sqref="B17">
      <formula1>0</formula1>
      <formula2>100</formula2>
    </dataValidation>
    <dataValidation type="decimal" operator="between" allowBlank="0" showErrorMessage="1" sqref="B18">
      <formula1>0</formula1>
      <formula2>100</formula2>
    </dataValidation>
    <dataValidation type="decimal" operator="between" allowBlank="0" showErrorMessage="1" sqref="B19">
      <formula1>0</formula1>
      <formula2>1000000000000</formula2>
    </dataValidation>
    <dataValidation type="decimal" operator="between" allowBlank="0" showErrorMessage="1" sqref="B20">
      <formula1>0</formula1>
      <formula2>1000000000000</formula2>
    </dataValidation>
    <dataValidation type="decimal" operator="between" allowBlank="0" showErrorMessage="1" sqref="B21">
      <formula1>0</formula1>
      <formula2>1000000000000</formula2>
    </dataValidation>
    <dataValidation type="decimal" operator="between" allowBlank="0" showErrorMessage="1" sqref="B22">
      <formula1>0</formula1>
      <formula2>100</formula2>
    </dataValidation>
    <dataValidation type="decimal" operator="between" allowBlank="0" showErrorMessage="1" sqref="B23">
      <formula1>0.01</formula1>
      <formula2>600</formula2>
    </dataValidation>
    <dataValidation type="decimal" operator="between" allowBlank="0" showErrorMessage="1" sqref="B24">
      <formula1>0</formula1>
      <formula2>1000000000000</formula2>
    </dataValidation>
    <dataValidation type="decimal" operator="between" allowBlank="0" showErrorMessage="1" sqref="B25">
      <formula1>0</formula1>
      <formula2>1000000000000</formula2>
    </dataValidation>
    <dataValidation type="decimal" operator="between" allowBlank="0" showErrorMessage="1" sqref="B26">
      <formula1>0</formula1>
      <formula2>100</formula2>
    </dataValidation>
    <dataValidation type="whole" operator="between" allowBlank="0" showErrorMessage="1" sqref="B27">
      <formula1>1</formula1>
      <formula2>600</formula2>
    </dataValidation>
    <dataValidation type="decimal" operator="between" allowBlank="0" showErrorMessage="1" sqref="B28">
      <formula1>0</formula1>
      <formula2>1000000000000</formula2>
    </dataValidation>
    <dataValidation type="decimal" operator="between" allowBlank="0" showErrorMessage="1" sqref="B29">
      <formula1>0</formula1>
      <formula2>1000000000000</formula2>
    </dataValidation>
    <dataValidation type="decimal" operator="between" allowBlank="0" showErrorMessage="1" sqref="B30">
      <formula1>0</formula1>
      <formula2>1000000000000</formula2>
    </dataValidation>
    <dataValidation type="decimal" operator="between" allowBlank="0" showErrorMessage="1" sqref="B31">
      <formula1>0</formula1>
      <formula2>1000000000000</formula2>
    </dataValidation>
    <dataValidation type="decimal" operator="between" allowBlank="0" showErrorMessage="1" sqref="B32">
      <formula1>0</formula1>
      <formula2>1000000000000</formula2>
    </dataValidation>
    <dataValidation type="decimal" operator="between" allowBlank="0" showErrorMessage="1" sqref="B33">
      <formula1>0</formula1>
      <formula2>1000000000000</formula2>
    </dataValidation>
    <dataValidation type="decimal" operator="between" allowBlank="0" showErrorMessage="1" sqref="B34">
      <formula1>0</formula1>
      <formula2>1000000000000</formula2>
    </dataValidation>
    <dataValidation type="decimal" operator="between" allowBlank="0" showErrorMessage="1" sqref="B35">
      <formula1>0</formula1>
      <formula2>1000000000000</formula2>
    </dataValidation>
    <dataValidation type="decimal" operator="between" allowBlank="0" showErrorMessage="1" sqref="B36">
      <formula1>0</formula1>
      <formula2>1000000000000</formula2>
    </dataValidation>
    <dataValidation type="decimal" operator="between" allowBlank="0" showErrorMessage="1" sqref="B37">
      <formula1>0</formula1>
      <formula2>1000000000000</formula2>
    </dataValidation>
    <dataValidation type="decimal" operator="between" allowBlank="0" showErrorMessage="1" sqref="B38">
      <formula1>0</formula1>
      <formula2>1000000000000</formula2>
    </dataValidation>
    <dataValidation type="decimal" operator="between" allowBlank="0" showErrorMessage="1" sqref="B39">
      <formula1>0</formula1>
      <formula2>1000000000000</formula2>
    </dataValidation>
    <dataValidation type="decimal" operator="between" allowBlank="0" showErrorMessage="1" sqref="B40">
      <formula1>0</formula1>
      <formula2>1000000000000</formula2>
    </dataValidation>
    <dataValidation type="decimal" operator="between" allowBlank="0" showErrorMessage="1" sqref="B41">
      <formula1>0</formula1>
      <formula2>1000000000000</formula2>
    </dataValidation>
    <dataValidation type="decimal" operator="between" allowBlank="0" showErrorMessage="1" sqref="B43">
      <formula1>0</formula1>
      <formula2>1000000000000</formula2>
    </dataValidation>
    <dataValidation type="decimal" operator="between" allowBlank="0" showErrorMessage="1" sqref="B44">
      <formula1>0</formula1>
      <formula2>1000000000000</formula2>
    </dataValidation>
    <dataValidation type="decimal" operator="between" allowBlank="0" showErrorMessage="1" sqref="B45">
      <formula1>-100</formula1>
      <formula2>100</formula2>
    </dataValidation>
    <dataValidation type="decimal" operator="between" allowBlank="0" showErrorMessage="1" sqref="B46">
      <formula1>0</formula1>
      <formula2>100</formula2>
    </dataValidation>
    <dataValidation type="whole" operator="between" allowBlank="0" showErrorMessage="1" sqref="B47">
      <formula1>1</formula1>
      <formula2>12</formula2>
    </dataValidation>
    <dataValidation type="whole" operator="between" allowBlank="0" showErrorMessage="1" sqref="B48">
      <formula1>1</formula1>
      <formula2>12</formula2>
    </dataValidation>
    <dataValidation type="decimal" operator="between" allowBlank="0" showErrorMessage="1" sqref="B50">
      <formula1>0</formula1>
      <formula2>1000000000000</formula2>
    </dataValidation>
    <dataValidation type="decimal" operator="between" allowBlank="0" showErrorMessage="1" sqref="B51">
      <formula1>0</formula1>
      <formula2>1000000000000</formula2>
    </dataValidation>
    <dataValidation type="decimal" operator="between" allowBlank="0" showErrorMessage="1" sqref="B52">
      <formula1>0</formula1>
      <formula2>1000000000000</formula2>
    </dataValidation>
    <dataValidation type="decimal" operator="between" allowBlank="0" showErrorMessage="1" sqref="B53">
      <formula1>0</formula1>
      <formula2>100</formula2>
    </dataValidation>
    <dataValidation type="decimal" operator="between" allowBlank="0" showErrorMessage="1" sqref="B54">
      <formula1>-100</formula1>
      <formula2>100</formula2>
    </dataValidation>
    <dataValidation type="whole" operator="between" allowBlank="0" showErrorMessage="1" sqref="B55">
      <formula1>1</formula1>
      <formula2>12</formula2>
    </dataValidation>
    <dataValidation type="whole" operator="between" allowBlank="0" showErrorMessage="1" sqref="B56">
      <formula1>1</formula1>
      <formula2>12</formula2>
    </dataValidation>
    <dataValidation type="decimal" operator="between" allowBlank="0" showErrorMessage="1" sqref="B58">
      <formula1>0</formula1>
      <formula2>1000000000000</formula2>
    </dataValidation>
    <dataValidation type="decimal" operator="between" allowBlank="0" showErrorMessage="1" sqref="B59">
      <formula1>0</formula1>
      <formula2>100</formula2>
    </dataValidation>
    <dataValidation type="decimal" operator="between" allowBlank="0" showErrorMessage="1" sqref="B60">
      <formula1>-100</formula1>
      <formula2>100</formula2>
    </dataValidation>
    <dataValidation type="decimal" operator="between" allowBlank="0" showErrorMessage="1" sqref="B61">
      <formula1>0</formula1>
      <formula2>1000000000000</formula2>
    </dataValidation>
    <dataValidation type="decimal" operator="between" allowBlank="0" showErrorMessage="1" sqref="B62">
      <formula1>0</formula1>
      <formula2>100</formula2>
    </dataValidation>
    <dataValidation type="decimal" operator="between" allowBlank="0" showErrorMessage="1" sqref="B63">
      <formula1>0</formula1>
      <formula2>100</formula2>
    </dataValidation>
    <dataValidation type="decimal" operator="between" allowBlank="0" showErrorMessage="1" sqref="B64">
      <formula1>0</formula1>
      <formula2>1000000000000</formula2>
    </dataValidation>
    <dataValidation type="whole" operator="between" allowBlank="0" showErrorMessage="1" sqref="B65">
      <formula1>1</formula1>
      <formula2>12</formula2>
    </dataValidation>
    <dataValidation type="whole" operator="between" allowBlank="0" showErrorMessage="1" sqref="B66">
      <formula1>1</formula1>
      <formula2>12</formula2>
    </dataValidation>
    <dataValidation type="list" allowBlank="0" showErrorMessage="1" sqref="B68">
      <formula1>"fixed,percent,once"</formula1>
    </dataValidation>
    <dataValidation type="decimal" operator="between" allowBlank="0" showErrorMessage="1" sqref="B69">
      <formula1>0</formula1>
      <formula2>1000000000000</formula2>
    </dataValidation>
    <dataValidation type="decimal" operator="between" allowBlank="0" showErrorMessage="1" sqref="B70">
      <formula1>-100</formula1>
      <formula2>100</formula2>
    </dataValidation>
    <dataValidation type="whole" operator="between" allowBlank="0" showErrorMessage="1" sqref="B71">
      <formula1>1</formula1>
      <formula2>12</formula2>
    </dataValidation>
    <dataValidation type="whole" operator="between" allowBlank="0" showErrorMessage="1" sqref="B72">
      <formula1>1</formula1>
      <formula2>12</formula2>
    </dataValidation>
    <dataValidation type="list" allowBlank="0" showErrorMessage="1" sqref="B74">
      <formula1>"fixed,percent,once"</formula1>
    </dataValidation>
    <dataValidation type="decimal" operator="between" allowBlank="0" showErrorMessage="1" sqref="B75">
      <formula1>0</formula1>
      <formula2>1000000000000</formula2>
    </dataValidation>
    <dataValidation type="decimal" operator="between" allowBlank="0" showErrorMessage="1" sqref="B76">
      <formula1>-100</formula1>
      <formula2>100</formula2>
    </dataValidation>
    <dataValidation type="whole" operator="between" allowBlank="0" showErrorMessage="1" sqref="B77">
      <formula1>1</formula1>
      <formula2>12</formula2>
    </dataValidation>
    <dataValidation type="whole" operator="between" allowBlank="0" showErrorMessage="1" sqref="B78">
      <formula1>1</formula1>
      <formula2>12</formula2>
    </dataValidation>
    <dataValidation type="list" allowBlank="0" showErrorMessage="1" sqref="B80">
      <formula1>"fixed,percent,once"</formula1>
    </dataValidation>
    <dataValidation type="decimal" operator="between" allowBlank="0" showErrorMessage="1" sqref="B81">
      <formula1>0</formula1>
      <formula2>1000000000000</formula2>
    </dataValidation>
    <dataValidation type="decimal" operator="between" allowBlank="0" showErrorMessage="1" sqref="B82">
      <formula1>-100</formula1>
      <formula2>100</formula2>
    </dataValidation>
    <dataValidation type="whole" operator="between" allowBlank="0" showErrorMessage="1" sqref="B83">
      <formula1>1</formula1>
      <formula2>12</formula2>
    </dataValidation>
    <dataValidation type="whole" operator="between" allowBlank="0" showErrorMessage="1" sqref="B84">
      <formula1>1</formula1>
      <formula2>12</formula2>
    </dataValidation>
  </dataValidations>
</worksheet>
</file>

<file path=xl/worksheets/sheet3.xml><?xml version="1.0" encoding="utf-8"?>
<worksheet xmlns="http://schemas.openxmlformats.org/spreadsheetml/2006/main">
  <sheetViews>
    <sheetView workbookViewId="0" showGridLines="0"/>
  </sheetViews>
  <cols>
    <col min="1" max="1" width="47" customWidth="1"/>
    <col min="2" max="2" width="28" customWidth="1"/>
    <col min="3" max="3" width="100" customWidth="1"/>
    <col min="4" max="14" width="20" customWidth="1"/>
  </cols>
  <sheetData>
    <row r="1" ht="35" customHeight="1">
      <c r="A1" s="7" t="inlineStr">
        <is>
          <t>Доходность, клиенты и сложные проценты</t>
        </is>
      </c>
      <c r="B1" s="8"/>
      <c r="C1" s="8"/>
    </row>
    <row r="2" ht="35" customHeight="1">
      <c r="A2" s="9" t="inlineStr">
        <is>
          <t>Все показатели бизнеса — за 12 месяцев выбранного сценария. Накопления — отдельный расчёт.</t>
        </is>
      </c>
      <c r="B2" s="9"/>
      <c r="C2" s="9"/>
    </row>
    <row r="3" ht="35" customHeight="1">
      <c r="A3" s="7" t="inlineStr">
        <is>
          <t>Показатель</t>
        </is>
      </c>
      <c r="B3" s="7" t="inlineStr">
        <is>
          <t>Значение</t>
        </is>
      </c>
      <c r="C3" s="7" t="inlineStr">
        <is>
          <t>Формула и условия</t>
        </is>
      </c>
    </row>
    <row r="4" ht="60" customHeight="1">
      <c r="A4" s="16" t="inlineStr">
        <is>
          <t>ROI</t>
        </is>
      </c>
      <c r="B4" s="20">
        <f>IF('Модель'!N52&gt;0,'Модель'!N40/'Модель'!N52,"")</f>
        <v>4.471581767069483</v>
      </c>
      <c r="C4" s="26" t="inlineStr">
        <is>
          <t>Чистая прибыль / все инвестиции. Учётная доходность за горизонт модели.</t>
        </is>
      </c>
    </row>
    <row r="5" ht="60" customHeight="1">
      <c r="A5" s="21" t="inlineStr">
        <is>
          <t>ROMI</t>
        </is>
      </c>
      <c r="B5" s="22">
        <f>IF(AND(OR('Модель'!N16=0,'Вводные'!B61&gt;0)),IF('Модель'!N21&gt;0,('Модель'!N24*'Вводные'!B18/100-'Модель'!N21)/'Модель'!N21,""),"")</f>
        <v>-0.2633333333333333</v>
      </c>
      <c r="C5" s="8" t="inlineStr">
        <is>
          <t>(Рекламная выручка × валовая маржа − маркетинг) / маркетинг. Оценка атрибуции, не причинный прирост.</t>
        </is>
      </c>
    </row>
    <row r="6" ht="60" customHeight="1">
      <c r="A6" s="18" t="inlineStr">
        <is>
          <t>ROAS, раз</t>
        </is>
      </c>
      <c r="B6" s="23">
        <f>IF(AND(OR('Модель'!N16=0,'Вводные'!B61&gt;0)),IF('Модель'!N21&gt;0,'Модель'!N24/'Модель'!N21,""),"")</f>
        <v>1.1333333333333333</v>
      </c>
      <c r="C6" s="9" t="inlineStr">
        <is>
          <t>Оценка рекламной выручки / бюджет каналов.</t>
        </is>
      </c>
    </row>
    <row r="7" ht="60" customHeight="1">
      <c r="A7" s="21" t="inlineStr">
        <is>
          <t>RR: рентабельность затрат</t>
        </is>
      </c>
      <c r="B7" s="22">
        <f>IF('Модель'!N41&gt;0,'Модель'!N40/'Модель'!N41,"")</f>
        <v>0.5387218872578418</v>
      </c>
      <c r="C7" s="8" t="inlineStr">
        <is>
          <t>Чистая прибыль / все расходы в прибыли.</t>
        </is>
      </c>
    </row>
    <row r="8" ht="60" customHeight="1">
      <c r="A8" s="18" t="inlineStr">
        <is>
          <t>Маржа чистой прибыли</t>
        </is>
      </c>
      <c r="B8" s="19">
        <f>IF('Модель'!N8&gt;0,'Модель'!N40/'Модель'!N8,"")</f>
        <v>0.3501099787550945</v>
      </c>
      <c r="C8" s="9" t="inlineStr">
        <is>
          <t>Чистая прибыль / выручка.</t>
        </is>
      </c>
    </row>
    <row r="9" ht="60" customHeight="1">
      <c r="A9" s="16" t="inlineStr">
        <is>
          <t>Срок окупаемости, мес.</t>
        </is>
      </c>
      <c r="B9" s="24">
        <f>IF(MIN(C41:N41)&lt;1000000000,MIN(C41:N41),"Не достигнут")</f>
        <v>3.3395001431645293</v>
      </c>
      <c r="C9" s="26" t="inlineStr">
        <is>
          <t>Первое покрытие отрицательного накопленного потока. Доля месяца — линейная интерполяция.</t>
        </is>
      </c>
    </row>
    <row r="10" ht="60" customHeight="1">
      <c r="A10" s="16" t="inlineStr">
        <is>
          <t>Дисконтированный срок, мес.</t>
        </is>
      </c>
      <c r="B10" s="24">
        <f>IF(MIN(C42:N42)&lt;1000000000,MIN(C42:N42),"Не достигнут")</f>
        <v>3.404691798255992</v>
      </c>
      <c r="C10" s="26" t="inlineStr">
        <is>
          <t>Первое покрытие дисконтированных вложений; горизонт 12 месяцев.</t>
        </is>
      </c>
    </row>
    <row r="11" ht="60" customHeight="1">
      <c r="A11" s="16" t="inlineStr">
        <is>
          <t>NPV</t>
        </is>
      </c>
      <c r="B11" s="11">
        <f>SUM(B36:N36)</f>
        <v>10471041.583138693</v>
      </c>
      <c r="C11" s="26" t="inlineStr">
        <is>
          <t>Начальные вложения и свободные потоки после процентов и налога; без выдачи и тела кредита, без остаточной стоимости.</t>
        </is>
      </c>
    </row>
    <row r="12" ht="60" customHeight="1">
      <c r="A12" s="16" t="inlineStr">
        <is>
          <t>IRR: эффективная годовая</t>
        </is>
      </c>
      <c r="B12" s="20">
        <f>IF(ISNUMBER(B13),(1+B13)^12-1,"Не определена / неоднозначна")</f>
        <v>27.357837405699108</v>
      </c>
      <c r="C12" s="26" t="inlineStr">
        <is>
          <t>(1 + месячная IRR)^12 − 1.</t>
        </is>
      </c>
    </row>
    <row r="13" ht="60" customHeight="1">
      <c r="A13" s="21" t="inlineStr">
        <is>
          <t>IRR: месячная</t>
        </is>
      </c>
      <c r="B13" s="22">
        <f>IF(AND(MIN(B35:N35)&lt;0,MAX(B35:N35)&gt;0,SUM(B40:N40)=1),IFERROR(IRR(B35:N35,0.3214663002989485),"Нет сходимости"),"Не определена / неоднозначна")</f>
        <v>0.3214663002989485</v>
      </c>
      <c r="C13" s="8" t="inlineStr">
        <is>
          <t>Ставка, при которой NPV = 0. При нескольких сменах знака не показывается как однозначная.</t>
        </is>
      </c>
    </row>
    <row r="14" ht="60" customHeight="1">
      <c r="A14" s="16" t="inlineStr">
        <is>
          <t>ROE</t>
        </is>
      </c>
      <c r="B14" s="20">
        <f>IF('Вводные'!B19&gt;0,'Модель'!N40/'Вводные'!B19,"")</f>
        <v>4.471581767069483</v>
      </c>
      <c r="C14" s="26" t="inlineStr">
        <is>
          <t>Чистая прибыль / введённый средний собственный капитал за год.</t>
        </is>
      </c>
    </row>
    <row r="15" ht="60" customHeight="1">
      <c r="A15" s="16" t="inlineStr">
        <is>
          <t>ROA</t>
        </is>
      </c>
      <c r="B15" s="20">
        <f>IF('Вводные'!B20&gt;0,'Модель'!N40/'Вводные'!B20,"")</f>
        <v>2.2357908835347415</v>
      </c>
      <c r="C15" s="26" t="inlineStr">
        <is>
          <t>Чистая прибыль / введённые средние активы за год.</t>
        </is>
      </c>
    </row>
    <row r="16" ht="60" customHeight="1">
      <c r="A16" s="18" t="inlineStr">
        <is>
          <t>LTV: валовая прибыль</t>
        </is>
      </c>
      <c r="B16" s="12">
        <f>IF('Вводные'!B21&gt;0,'Вводные'!B21*'Вводные'!B22/100*'Вводные'!B23,"")</f>
        <v>66300</v>
      </c>
      <c r="C16" s="9" t="inlineStr">
        <is>
          <t>Месячная выручка на клиента × валовая маржа × срок жизни. До привлечения, без дисконтирования.</t>
        </is>
      </c>
    </row>
    <row r="17" ht="60" customHeight="1">
      <c r="A17" s="21" t="inlineStr">
        <is>
          <t>CAC: стоимость нового клиента</t>
        </is>
      </c>
      <c r="B17" s="10">
        <f>IF(AND(OR('Модель'!N16=0,'Вводные'!B61&gt;0)),IF('Модель'!N23&gt;0,('Модель'!N21+'Вводные'!B24)/'Модель'!N23,""),"")</f>
        <v>7500</v>
      </c>
      <c r="C17" s="8" t="inlineStr">
        <is>
          <t>Маркетинг и прочие затраты на привлечение / новые клиенты воронки. Прочие затраты уже должны быть в расходах.</t>
        </is>
      </c>
    </row>
    <row r="18" ht="60" customHeight="1">
      <c r="A18" s="16" t="inlineStr">
        <is>
          <t>LTV / CAC, раз</t>
        </is>
      </c>
      <c r="B18" s="24">
        <f>IF(AND(ISNUMBER(B16),ISNUMBER(B17),B17&gt;0),B16/B17,"")</f>
        <v>8.84</v>
      </c>
      <c r="C18" s="26" t="inlineStr">
        <is>
          <t>Валовая прибыль за жизнь клиента / стоимость привлечения.</t>
        </is>
      </c>
    </row>
    <row r="20" ht="60" customHeight="1">
      <c r="A20" s="18" t="inlineStr">
        <is>
          <t>Месячная ставка дисконтирования</t>
        </is>
      </c>
      <c r="B20" s="19">
        <f>(1+'Вводные'!B17/100)^(1/12)-1</f>
        <v>0.009488792934582975</v>
      </c>
      <c r="C20" s="9" t="inlineStr">
        <is>
          <t>Эквивалент эффективной годовой ставки.</t>
        </is>
      </c>
    </row>
    <row r="23" ht="35" customHeight="1">
      <c r="A23" s="7" t="inlineStr">
        <is>
          <t>Сложные проценты: отдельный калькулятор</t>
        </is>
      </c>
      <c r="B23" s="8"/>
      <c r="C23" s="8"/>
    </row>
    <row r="24" ht="60" customHeight="1">
      <c r="A24" s="18" t="inlineStr">
        <is>
          <t>Месячная ставка накоплений</t>
        </is>
      </c>
      <c r="B24" s="19">
        <f>(1+'Вводные'!B26/100)^(1/12)-1</f>
        <v>0.009488792934582975</v>
      </c>
      <c r="C24" s="9" t="inlineStr">
        <is>
          <t>Эквивалент эффективной годовой ставки.</t>
        </is>
      </c>
    </row>
    <row r="25" ht="60" customHeight="1">
      <c r="A25" s="16" t="inlineStr">
        <is>
          <t>Будущая сумма</t>
        </is>
      </c>
      <c r="B25" s="11">
        <f>'Вводные'!B25*(1+B24)^'Вводные'!B27+'Вводные'!B28*IF(B24=0,'Вводные'!B27,((1+B24)^'Вводные'!B27-1)/B24)</f>
        <v>140492.80000000034</v>
      </c>
      <c r="C25" s="26" t="inlineStr">
        <is>
          <t>Начальная сумма с капитализацией плюс пополнения в конце каждого месяца. Не включено в модель бизнеса.</t>
        </is>
      </c>
    </row>
    <row r="26" ht="60" customHeight="1">
      <c r="A26" s="18" t="inlineStr">
        <is>
          <t>Всего внесено</t>
        </is>
      </c>
      <c r="B26" s="12">
        <f>'Вводные'!B25+'Вводные'!B28*'Вводные'!B27</f>
        <v>100000</v>
      </c>
      <c r="C26" s="9" t="inlineStr">
        <is>
          <t>Начальная сумма + все пополнения.</t>
        </is>
      </c>
    </row>
    <row r="27" ht="60" customHeight="1">
      <c r="A27" s="16" t="inlineStr">
        <is>
          <t>Начислено процентов</t>
        </is>
      </c>
      <c r="B27" s="11">
        <f>B25-B26</f>
        <v>40492.80000000034</v>
      </c>
      <c r="C27" s="26" t="inlineStr">
        <is>
          <t>Будущая сумма − внесённые средства.</t>
        </is>
      </c>
    </row>
    <row r="30" ht="35" customHeight="1">
      <c r="A30" s="9" t="inlineStr">
        <is>
          <t>NPV: https://corporatefinanceinstitute.com/resources/valuation/net-present-value-npv/</t>
        </is>
      </c>
      <c r="B30" s="9"/>
      <c r="C30" s="9"/>
    </row>
    <row r="31" ht="35" customHeight="1">
      <c r="A31" s="8" t="inlineStr">
        <is>
          <t>IRR: https://corporatefinanceinstitute.com/resources/valuation/internal-rate-return-irr/</t>
        </is>
      </c>
      <c r="B31" s="8"/>
      <c r="C31" s="8"/>
    </row>
    <row r="34" ht="35" customHeight="1">
      <c r="A34" s="7" t="inlineStr">
        <is>
          <t>Потоки и проверка окупаемости</t>
        </is>
      </c>
      <c r="B34" s="7" t="inlineStr">
        <is>
          <t>М0</t>
        </is>
      </c>
      <c r="C34" s="7" t="inlineStr">
        <is>
          <t>М1</t>
        </is>
      </c>
      <c r="D34" s="7" t="inlineStr">
        <is>
          <t>М2</t>
        </is>
      </c>
      <c r="E34" s="7" t="inlineStr">
        <is>
          <t>М3</t>
        </is>
      </c>
      <c r="F34" s="7" t="inlineStr">
        <is>
          <t>М4</t>
        </is>
      </c>
      <c r="G34" s="7" t="inlineStr">
        <is>
          <t>М5</t>
        </is>
      </c>
      <c r="H34" s="7" t="inlineStr">
        <is>
          <t>М6</t>
        </is>
      </c>
      <c r="I34" s="7" t="inlineStr">
        <is>
          <t>М7</t>
        </is>
      </c>
      <c r="J34" s="7" t="inlineStr">
        <is>
          <t>М8</t>
        </is>
      </c>
      <c r="K34" s="7" t="inlineStr">
        <is>
          <t>М9</t>
        </is>
      </c>
      <c r="L34" s="7" t="inlineStr">
        <is>
          <t>М10</t>
        </is>
      </c>
      <c r="M34" s="7" t="inlineStr">
        <is>
          <t>М11</t>
        </is>
      </c>
      <c r="N34" s="7" t="inlineStr">
        <is>
          <t>М12</t>
        </is>
      </c>
    </row>
    <row r="35" ht="35" customHeight="1">
      <c r="A35" s="8" t="inlineStr">
        <is>
          <t>Свободный денежный поток</t>
        </is>
      </c>
      <c r="B35" s="10">
        <f>-'Вводные'!B12</f>
        <v>-3000000</v>
      </c>
      <c r="C35" s="10">
        <f>'Модель'!B50</f>
        <v>825083.3333333334</v>
      </c>
      <c r="D35" s="10">
        <f>'Модель'!C50</f>
        <v>884753.3333333334</v>
      </c>
      <c r="E35" s="10">
        <f>'Модель'!D50</f>
        <v>946810.1333333333</v>
      </c>
      <c r="F35" s="10">
        <f>'Модель'!E50</f>
        <v>1011349.2053333335</v>
      </c>
      <c r="G35" s="10">
        <f>'Модель'!F50</f>
        <v>1078469.8402133335</v>
      </c>
      <c r="H35" s="10">
        <f>'Модель'!G50</f>
        <v>1148275.3004885335</v>
      </c>
      <c r="I35" s="10">
        <f>'Модель'!H50</f>
        <v>1220872.979174742</v>
      </c>
      <c r="J35" s="10">
        <f>'Модель'!I50</f>
        <v>1296374.565008398</v>
      </c>
      <c r="K35" s="10">
        <f>'Модель'!J50</f>
        <v>1374896.2142754006</v>
      </c>
      <c r="L35" s="10">
        <f>'Модель'!K50</f>
        <v>1456558.7295130836</v>
      </c>
      <c r="M35" s="10">
        <f>'Модель'!L50</f>
        <v>1541487.7453602739</v>
      </c>
      <c r="N35" s="10">
        <f>'Модель'!M50</f>
        <v>1629813.9218413518</v>
      </c>
    </row>
    <row r="36" ht="35" customHeight="1">
      <c r="A36" s="9" t="inlineStr">
        <is>
          <t>Дисконтированный поток</t>
        </is>
      </c>
      <c r="B36" s="12">
        <f>B35/(1+$B$20)^0</f>
        <v>-3000000</v>
      </c>
      <c r="C36" s="12">
        <f>C35/(1+$B$20)^1</f>
        <v>817327.8783361396</v>
      </c>
      <c r="D36" s="12">
        <f>D35/(1+$B$20)^2</f>
        <v>868198.8450150071</v>
      </c>
      <c r="E36" s="12">
        <f>E35/(1+$B$20)^3</f>
        <v>920361.3907776623</v>
      </c>
      <c r="F36" s="12">
        <f>F35/(1+$B$20)^4</f>
        <v>973856.8648280132</v>
      </c>
      <c r="G36" s="12">
        <f>G35/(1+$B$20)^5</f>
        <v>1028727.8443936977</v>
      </c>
      <c r="H36" s="12">
        <f>H35/(1+$B$20)^6</f>
        <v>1085018.172046651</v>
      </c>
      <c r="I36" s="12">
        <f>I35/(1+$B$20)^7</f>
        <v>1142772.9941497457</v>
      </c>
      <c r="J36" s="12">
        <f>J35/(1+$B$20)^8</f>
        <v>1202038.8004635524</v>
      </c>
      <c r="K36" s="12">
        <f>K35/(1+$B$20)^9</f>
        <v>1262863.464948317</v>
      </c>
      <c r="L36" s="12">
        <f>L35/(1+$B$20)^10</f>
        <v>1325296.2877972766</v>
      </c>
      <c r="M36" s="12">
        <f>M35/(1+$B$20)^11</f>
        <v>1389388.0387385655</v>
      </c>
      <c r="N36" s="12">
        <f>N35/(1+$B$20)^12</f>
        <v>1455191.0016440628</v>
      </c>
    </row>
    <row r="37" ht="35" customHeight="1">
      <c r="A37" s="8" t="inlineStr">
        <is>
          <t>Поток накопленно</t>
        </is>
      </c>
      <c r="B37" s="27">
        <f>B35</f>
        <v>-3000000</v>
      </c>
      <c r="C37" s="27">
        <f>B37+C35</f>
        <v>-2174916.6666666665</v>
      </c>
      <c r="D37" s="27">
        <f>C37+D35</f>
        <v>-1290163.333333333</v>
      </c>
      <c r="E37" s="27">
        <f>D37+E35</f>
        <v>-343353.1999999997</v>
      </c>
      <c r="F37" s="27">
        <f>E37+F35</f>
        <v>667996.0053333337</v>
      </c>
      <c r="G37" s="27">
        <f>F37+G35</f>
        <v>1746465.8455466672</v>
      </c>
      <c r="H37" s="27">
        <f>G37+H35</f>
        <v>2894741.146035201</v>
      </c>
      <c r="I37" s="27">
        <f>H37+I35</f>
        <v>4115614.125209943</v>
      </c>
      <c r="J37" s="27">
        <f>I37+J35</f>
        <v>5411988.690218341</v>
      </c>
      <c r="K37" s="27">
        <f>J37+K35</f>
        <v>6786884.904493742</v>
      </c>
      <c r="L37" s="27">
        <f>K37+L35</f>
        <v>8243443.634006825</v>
      </c>
      <c r="M37" s="27">
        <f>L37+M35</f>
        <v>9784931.379367098</v>
      </c>
      <c r="N37" s="27">
        <f>M37+N35</f>
        <v>11414745.30120845</v>
      </c>
    </row>
    <row r="38" ht="35" customHeight="1">
      <c r="A38" s="9" t="inlineStr">
        <is>
          <t>Дисконтированный накопленно</t>
        </is>
      </c>
      <c r="B38" s="23">
        <f>B36</f>
        <v>-3000000</v>
      </c>
      <c r="C38" s="23">
        <f>B38+C36</f>
        <v>-2182672.1216638605</v>
      </c>
      <c r="D38" s="23">
        <f>C38+D36</f>
        <v>-1314473.2766488534</v>
      </c>
      <c r="E38" s="23">
        <f>D38+E36</f>
        <v>-394111.88587119116</v>
      </c>
      <c r="F38" s="23">
        <f>E38+F36</f>
        <v>579744.9789568221</v>
      </c>
      <c r="G38" s="23">
        <f>F38+G36</f>
        <v>1608472.8233505199</v>
      </c>
      <c r="H38" s="23">
        <f>G38+H36</f>
        <v>2693490.995397171</v>
      </c>
      <c r="I38" s="23">
        <f>H38+I36</f>
        <v>3836263.9895469164</v>
      </c>
      <c r="J38" s="23">
        <f>I38+J36</f>
        <v>5038302.790010469</v>
      </c>
      <c r="K38" s="23">
        <f>J38+K36</f>
        <v>6301166.254958786</v>
      </c>
      <c r="L38" s="23">
        <f>K38+L36</f>
        <v>7626462.542756063</v>
      </c>
      <c r="M38" s="23">
        <f>L38+M36</f>
        <v>9015850.58149463</v>
      </c>
      <c r="N38" s="23">
        <f>M38+N36</f>
        <v>10471041.583138693</v>
      </c>
    </row>
    <row r="39" ht="35" customHeight="1">
      <c r="A39" s="8" t="inlineStr">
        <is>
          <t>Последний ненулевой знак</t>
        </is>
      </c>
      <c r="B39" s="27">
        <f>SIGN(B35)</f>
        <v>-1</v>
      </c>
      <c r="C39" s="27">
        <f>IF(C35=0,B39,SIGN(C35))</f>
        <v>1</v>
      </c>
      <c r="D39" s="27">
        <f>IF(D35=0,C39,SIGN(D35))</f>
        <v>1</v>
      </c>
      <c r="E39" s="27">
        <f>IF(E35=0,D39,SIGN(E35))</f>
        <v>1</v>
      </c>
      <c r="F39" s="27">
        <f>IF(F35=0,E39,SIGN(F35))</f>
        <v>1</v>
      </c>
      <c r="G39" s="27">
        <f>IF(G35=0,F39,SIGN(G35))</f>
        <v>1</v>
      </c>
      <c r="H39" s="27">
        <f>IF(H35=0,G39,SIGN(H35))</f>
        <v>1</v>
      </c>
      <c r="I39" s="27">
        <f>IF(I35=0,H39,SIGN(I35))</f>
        <v>1</v>
      </c>
      <c r="J39" s="27">
        <f>IF(J35=0,I39,SIGN(J35))</f>
        <v>1</v>
      </c>
      <c r="K39" s="27">
        <f>IF(K35=0,J39,SIGN(K35))</f>
        <v>1</v>
      </c>
      <c r="L39" s="27">
        <f>IF(L35=0,K39,SIGN(L35))</f>
        <v>1</v>
      </c>
      <c r="M39" s="27">
        <f>IF(M35=0,L39,SIGN(M35))</f>
        <v>1</v>
      </c>
      <c r="N39" s="27">
        <f>IF(N35=0,M39,SIGN(N35))</f>
        <v>1</v>
      </c>
    </row>
    <row r="40" ht="35" customHeight="1">
      <c r="A40" s="9" t="inlineStr">
        <is>
          <t>Смена знака</t>
        </is>
      </c>
      <c r="B40" s="23">
        <f>0</f>
        <v>0</v>
      </c>
      <c r="C40" s="23">
        <f>IF(AND(B39&lt;&gt;0,C35&lt;&gt;0,B39&lt;&gt;SIGN(C35)),1,0)</f>
        <v>1</v>
      </c>
      <c r="D40" s="23">
        <f>IF(AND(C39&lt;&gt;0,D35&lt;&gt;0,C39&lt;&gt;SIGN(D35)),1,0)</f>
        <v>0</v>
      </c>
      <c r="E40" s="23">
        <f>IF(AND(D39&lt;&gt;0,E35&lt;&gt;0,D39&lt;&gt;SIGN(E35)),1,0)</f>
        <v>0</v>
      </c>
      <c r="F40" s="23">
        <f>IF(AND(E39&lt;&gt;0,F35&lt;&gt;0,E39&lt;&gt;SIGN(F35)),1,0)</f>
        <v>0</v>
      </c>
      <c r="G40" s="23">
        <f>IF(AND(F39&lt;&gt;0,G35&lt;&gt;0,F39&lt;&gt;SIGN(G35)),1,0)</f>
        <v>0</v>
      </c>
      <c r="H40" s="23">
        <f>IF(AND(G39&lt;&gt;0,H35&lt;&gt;0,G39&lt;&gt;SIGN(H35)),1,0)</f>
        <v>0</v>
      </c>
      <c r="I40" s="23">
        <f>IF(AND(H39&lt;&gt;0,I35&lt;&gt;0,H39&lt;&gt;SIGN(I35)),1,0)</f>
        <v>0</v>
      </c>
      <c r="J40" s="23">
        <f>IF(AND(I39&lt;&gt;0,J35&lt;&gt;0,I39&lt;&gt;SIGN(J35)),1,0)</f>
        <v>0</v>
      </c>
      <c r="K40" s="23">
        <f>IF(AND(J39&lt;&gt;0,K35&lt;&gt;0,J39&lt;&gt;SIGN(K35)),1,0)</f>
        <v>0</v>
      </c>
      <c r="L40" s="23">
        <f>IF(AND(K39&lt;&gt;0,L35&lt;&gt;0,K39&lt;&gt;SIGN(L35)),1,0)</f>
        <v>0</v>
      </c>
      <c r="M40" s="23">
        <f>IF(AND(L39&lt;&gt;0,M35&lt;&gt;0,L39&lt;&gt;SIGN(M35)),1,0)</f>
        <v>0</v>
      </c>
      <c r="N40" s="23">
        <f>IF(AND(M39&lt;&gt;0,N35&lt;&gt;0,M39&lt;&gt;SIGN(N35)),1,0)</f>
        <v>0</v>
      </c>
    </row>
    <row r="41" ht="35" customHeight="1">
      <c r="A41" s="8" t="inlineStr">
        <is>
          <t>Кандидат срока, 1e9 = нет</t>
        </is>
      </c>
      <c r="B41" s="27">
        <f>1000000000</f>
        <v>1000000000</v>
      </c>
      <c r="C41" s="27">
        <f>IF(AND(B37&lt;0,C37&gt;=0,C35&gt;0),0-B37/C35,1000000000)</f>
        <v>1000000000</v>
      </c>
      <c r="D41" s="27">
        <f>IF(AND(C37&lt;0,D37&gt;=0,D35&gt;0),1-C37/D35,1000000000)</f>
        <v>1000000000</v>
      </c>
      <c r="E41" s="27">
        <f>IF(AND(D37&lt;0,E37&gt;=0,E35&gt;0),2-D37/E35,1000000000)</f>
        <v>1000000000</v>
      </c>
      <c r="F41" s="27">
        <f>IF(AND(E37&lt;0,F37&gt;=0,F35&gt;0),3-E37/F35,1000000000)</f>
        <v>3.3395001431645293</v>
      </c>
      <c r="G41" s="27">
        <f>IF(AND(F37&lt;0,G37&gt;=0,G35&gt;0),4-F37/G35,1000000000)</f>
        <v>1000000000</v>
      </c>
      <c r="H41" s="27">
        <f>IF(AND(G37&lt;0,H37&gt;=0,H35&gt;0),5-G37/H35,1000000000)</f>
        <v>1000000000</v>
      </c>
      <c r="I41" s="27">
        <f>IF(AND(H37&lt;0,I37&gt;=0,I35&gt;0),6-H37/I35,1000000000)</f>
        <v>1000000000</v>
      </c>
      <c r="J41" s="27">
        <f>IF(AND(I37&lt;0,J37&gt;=0,J35&gt;0),7-I37/J35,1000000000)</f>
        <v>1000000000</v>
      </c>
      <c r="K41" s="27">
        <f>IF(AND(J37&lt;0,K37&gt;=0,K35&gt;0),8-J37/K35,1000000000)</f>
        <v>1000000000</v>
      </c>
      <c r="L41" s="27">
        <f>IF(AND(K37&lt;0,L37&gt;=0,L35&gt;0),9-K37/L35,1000000000)</f>
        <v>1000000000</v>
      </c>
      <c r="M41" s="27">
        <f>IF(AND(L37&lt;0,M37&gt;=0,M35&gt;0),10-L37/M35,1000000000)</f>
        <v>1000000000</v>
      </c>
      <c r="N41" s="27">
        <f>IF(AND(M37&lt;0,N37&gt;=0,N35&gt;0),11-M37/N35,1000000000)</f>
        <v>1000000000</v>
      </c>
    </row>
    <row r="42" ht="35" customHeight="1">
      <c r="A42" s="9" t="inlineStr">
        <is>
          <t>Дисконт. кандидат, 1e9 = нет</t>
        </is>
      </c>
      <c r="B42" s="23">
        <f>1000000000</f>
        <v>1000000000</v>
      </c>
      <c r="C42" s="23">
        <f>IF(AND(B38&lt;0,C38&gt;=0,C36&gt;0),0-B38/C36,1000000000)</f>
        <v>1000000000</v>
      </c>
      <c r="D42" s="23">
        <f>IF(AND(C38&lt;0,D38&gt;=0,D36&gt;0),1-C38/D36,1000000000)</f>
        <v>1000000000</v>
      </c>
      <c r="E42" s="23">
        <f>IF(AND(D38&lt;0,E38&gt;=0,E36&gt;0),2-D38/E36,1000000000)</f>
        <v>1000000000</v>
      </c>
      <c r="F42" s="23">
        <f>IF(AND(E38&lt;0,F38&gt;=0,F36&gt;0),3-E38/F36,1000000000)</f>
        <v>3.404691798255992</v>
      </c>
      <c r="G42" s="23">
        <f>IF(AND(F38&lt;0,G38&gt;=0,G36&gt;0),4-F38/G36,1000000000)</f>
        <v>1000000000</v>
      </c>
      <c r="H42" s="23">
        <f>IF(AND(G38&lt;0,H38&gt;=0,H36&gt;0),5-G38/H36,1000000000)</f>
        <v>1000000000</v>
      </c>
      <c r="I42" s="23">
        <f>IF(AND(H38&lt;0,I38&gt;=0,I36&gt;0),6-H38/I36,1000000000)</f>
        <v>1000000000</v>
      </c>
      <c r="J42" s="23">
        <f>IF(AND(I38&lt;0,J38&gt;=0,J36&gt;0),7-I38/J36,1000000000)</f>
        <v>1000000000</v>
      </c>
      <c r="K42" s="23">
        <f>IF(AND(J38&lt;0,K38&gt;=0,K36&gt;0),8-J38/K36,1000000000)</f>
        <v>1000000000</v>
      </c>
      <c r="L42" s="23">
        <f>IF(AND(K38&lt;0,L38&gt;=0,L36&gt;0),9-K38/L36,1000000000)</f>
        <v>1000000000</v>
      </c>
      <c r="M42" s="23">
        <f>IF(AND(L38&lt;0,M38&gt;=0,M36&gt;0),10-L38/M36,1000000000)</f>
        <v>1000000000</v>
      </c>
      <c r="N42" s="23">
        <f>IF(AND(M38&lt;0,N38&gt;=0,N36&gt;0),11-M38/N36,1000000000)</f>
        <v>1000000000</v>
      </c>
    </row>
  </sheetData>
  <mergeCells count="5">
    <mergeCell ref="A1:C1"/>
    <mergeCell ref="A2:C2"/>
    <mergeCell ref="A23:C23"/>
    <mergeCell ref="A30:C30"/>
    <mergeCell ref="A31:C31"/>
  </mergeCells>
</worksheet>
</file>