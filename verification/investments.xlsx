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  <fill>
      <patternFill patternType="solid">
        <fgColor rgb="FFF0F0E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1" t="inlineStr">
        <is>
          <t xml:space="preserve">КОНТУР / Мой бизнес</t>
        </is>
      </c>
    </row>
    <row r="2" ht="25" customHeight="1">
      <c r="A2" s="0" t="inlineStr">
        <is>
          <t xml:space="preserve">Базовый · KZT · 12 месяцев. Потоки — сумма; остатки — на конец М12.</t>
        </is>
      </c>
    </row>
    <row r="3" ht="25" customHeight="1">
      <c r="A3" s="1" t="inlineStr">
        <is>
          <t xml:space="preserve">Чистая прибыль</t>
        </is>
      </c>
      <c r="B3" s="2">
        <f>N39</f>
        <v>12514745.301208448</v>
      </c>
      <c r="D3" s="1" t="inlineStr">
        <is>
          <t xml:space="preserve">Выручка</t>
        </is>
      </c>
      <c r="E3" s="2">
        <f>N8</f>
        <v>38315803.933689654</v>
      </c>
      <c r="G3" s="1" t="inlineStr">
        <is>
          <t xml:space="preserve">Деньги на конец</t>
        </is>
      </c>
      <c r="H3" s="2">
        <f>M47</f>
        <v>11514745.301208451</v>
      </c>
    </row>
    <row r="4" ht="30" customHeight="1">
      <c r="A4" s="1" t="inlineStr">
        <is>
          <t xml:space="preserve">Показатель</t>
        </is>
      </c>
      <c r="B4" s="1" t="inlineStr">
        <is>
          <t xml:space="preserve">М1</t>
        </is>
      </c>
      <c r="C4" s="1" t="inlineStr">
        <is>
          <t xml:space="preserve">М2</t>
        </is>
      </c>
      <c r="D4" s="1" t="inlineStr">
        <is>
          <t xml:space="preserve">М3</t>
        </is>
      </c>
      <c r="E4" s="1" t="inlineStr">
        <is>
          <t xml:space="preserve">М4</t>
        </is>
      </c>
      <c r="F4" s="1" t="inlineStr">
        <is>
          <t xml:space="preserve">М5</t>
        </is>
      </c>
      <c r="G4" s="1" t="inlineStr">
        <is>
          <t xml:space="preserve">М6</t>
        </is>
      </c>
      <c r="H4" s="1" t="inlineStr">
        <is>
          <t xml:space="preserve">М7</t>
        </is>
      </c>
      <c r="I4" s="1" t="inlineStr">
        <is>
          <t xml:space="preserve">М8</t>
        </is>
      </c>
      <c r="J4" s="1" t="inlineStr">
        <is>
          <t xml:space="preserve">М9</t>
        </is>
      </c>
      <c r="K4" s="1" t="inlineStr">
        <is>
          <t xml:space="preserve">М10</t>
        </is>
      </c>
      <c r="L4" s="1" t="inlineStr">
        <is>
          <t xml:space="preserve">М11</t>
        </is>
      </c>
      <c r="M4" s="1" t="inlineStr">
        <is>
          <t xml:space="preserve">М12</t>
        </is>
      </c>
      <c r="N4" s="1" t="inlineStr">
        <is>
          <t xml:space="preserve">Год / конец</t>
        </is>
      </c>
      <c r="O4" s="1" t="inlineStr">
        <is>
          <t xml:space="preserve">Как считается</t>
        </is>
      </c>
    </row>
    <row r="5" ht="25" customHeight="1">
      <c r="A5" s="0" t="inlineStr">
        <is>
          <t xml:space="preserve">Основной продукт · количество</t>
        </is>
      </c>
      <c r="B5" s="2">
        <f>IF(AND((1&gt;='Вводные'!$B$35),(1&lt;='Вводные'!$B$36)),(('Вводные'!$B$31*'Вводные'!$B$17)*((1+('Вводные'!$B$33/100))^MAX(0,(1-'Вводные'!$B$35)))),0)</f>
        <v>300</v>
      </c>
      <c r="C5" s="2">
        <f>IF(AND((2&gt;='Вводные'!$B$35),(2&lt;='Вводные'!$B$36)),(('Вводные'!$B$31*'Вводные'!$B$17)*((1+('Вводные'!$B$33/100))^MAX(0,(2-'Вводные'!$B$35)))),0)</f>
        <v>312</v>
      </c>
      <c r="D5" s="2">
        <f>IF(AND((3&gt;='Вводные'!$B$35),(3&lt;='Вводные'!$B$36)),(('Вводные'!$B$31*'Вводные'!$B$17)*((1+('Вводные'!$B$33/100))^MAX(0,(3-'Вводные'!$B$35)))),0)</f>
        <v>324.48</v>
      </c>
      <c r="E5" s="2">
        <f>IF(AND((4&gt;='Вводные'!$B$35),(4&lt;='Вводные'!$B$36)),(('Вводные'!$B$31*'Вводные'!$B$17)*((1+('Вводные'!$B$33/100))^MAX(0,(4-'Вводные'!$B$35)))),0)</f>
        <v>337.4592</v>
      </c>
      <c r="F5" s="2">
        <f>IF(AND((5&gt;='Вводные'!$B$35),(5&lt;='Вводные'!$B$36)),(('Вводные'!$B$31*'Вводные'!$B$17)*((1+('Вводные'!$B$33/100))^MAX(0,(5-'Вводные'!$B$35)))),0)</f>
        <v>350.95756800000004</v>
      </c>
      <c r="G5" s="2">
        <f>IF(AND((6&gt;='Вводные'!$B$35),(6&lt;='Вводные'!$B$36)),(('Вводные'!$B$31*'Вводные'!$B$17)*((1+('Вводные'!$B$33/100))^MAX(0,(6-'Вводные'!$B$35)))),0)</f>
        <v>364.99587072</v>
      </c>
      <c r="H5" s="2">
        <f>IF(AND((7&gt;='Вводные'!$B$35),(7&lt;='Вводные'!$B$36)),(('Вводные'!$B$31*'Вводные'!$B$17)*((1+('Вводные'!$B$33/100))^MAX(0,(7-'Вводные'!$B$35)))),0)</f>
        <v>379.5957055488001</v>
      </c>
      <c r="I5" s="2">
        <f>IF(AND((8&gt;='Вводные'!$B$35),(8&lt;='Вводные'!$B$36)),(('Вводные'!$B$31*'Вводные'!$B$17)*((1+('Вводные'!$B$33/100))^MAX(0,(8-'Вводные'!$B$35)))),0)</f>
        <v>394.7795337707521</v>
      </c>
      <c r="J5" s="2">
        <f>IF(AND((9&gt;='Вводные'!$B$35),(9&lt;='Вводные'!$B$36)),(('Вводные'!$B$31*'Вводные'!$B$17)*((1+('Вводные'!$B$33/100))^MAX(0,(9-'Вводные'!$B$35)))),0)</f>
        <v>410.57071512158217</v>
      </c>
      <c r="K5" s="2">
        <f>IF(AND((10&gt;='Вводные'!$B$35),(10&lt;='Вводные'!$B$36)),(('Вводные'!$B$31*'Вводные'!$B$17)*((1+('Вводные'!$B$33/100))^MAX(0,(10-'Вводные'!$B$35)))),0)</f>
        <v>426.99354372644547</v>
      </c>
      <c r="L5" s="2">
        <f>IF(AND((11&gt;='Вводные'!$B$35),(11&lt;='Вводные'!$B$36)),(('Вводные'!$B$31*'Вводные'!$B$17)*((1+('Вводные'!$B$33/100))^MAX(0,(11-'Вводные'!$B$35)))),0)</f>
        <v>444.0732854755033</v>
      </c>
      <c r="M5" s="2">
        <f>IF(AND((12&gt;='Вводные'!$B$35),(12&lt;='Вводные'!$B$36)),(('Вводные'!$B$31*'Вводные'!$B$17)*((1+('Вводные'!$B$33/100))^MAX(0,(12-'Вводные'!$B$35)))),0)</f>
        <v>461.8362168945235</v>
      </c>
      <c r="N5" s="2">
        <f>SUM(B5:M5)</f>
        <v>4507.741639257606</v>
      </c>
      <c r="O5" s="0" t="inlineStr">
        <is>
          <t xml:space="preserve">Продажи</t>
        </is>
      </c>
    </row>
    <row r="6" ht="25" customHeight="1">
      <c r="A6" s="0" t="inlineStr">
        <is>
          <t xml:space="preserve">Основной продукт · выручка</t>
        </is>
      </c>
      <c r="B6" s="2">
        <f>(B5*'Вводные'!$B$32)</f>
        <v>2550000</v>
      </c>
      <c r="C6" s="2">
        <f>(C5*'Вводные'!$B$32)</f>
        <v>2652000</v>
      </c>
      <c r="D6" s="2">
        <f>(D5*'Вводные'!$B$32)</f>
        <v>2758080</v>
      </c>
      <c r="E6" s="2">
        <f>(E5*'Вводные'!$B$32)</f>
        <v>2868403.2</v>
      </c>
      <c r="F6" s="2">
        <f>(F5*'Вводные'!$B$32)</f>
        <v>2983139.328</v>
      </c>
      <c r="G6" s="2">
        <f>(G5*'Вводные'!$B$32)</f>
        <v>3102464.90112</v>
      </c>
      <c r="H6" s="2">
        <f>(H5*'Вводные'!$B$32)</f>
        <v>3226563.4971648008</v>
      </c>
      <c r="I6" s="2">
        <f>(I5*'Вводные'!$B$32)</f>
        <v>3355626.0370513927</v>
      </c>
      <c r="J6" s="2">
        <f>(J5*'Вводные'!$B$32)</f>
        <v>3489851.0785334483</v>
      </c>
      <c r="K6" s="2">
        <f>(K5*'Вводные'!$B$32)</f>
        <v>3629445.1216747863</v>
      </c>
      <c r="L6" s="2">
        <f>(L5*'Вводные'!$B$32)</f>
        <v>3774622.9265417783</v>
      </c>
      <c r="M6" s="2">
        <f>(M5*'Вводные'!$B$32)</f>
        <v>3925607.84360345</v>
      </c>
      <c r="N6" s="2">
        <f>SUM(B6:M6)</f>
        <v>38315803.933689654</v>
      </c>
      <c r="O6" s="0" t="inlineStr">
        <is>
          <t xml:space="preserve">Продажи</t>
        </is>
      </c>
    </row>
    <row r="7" ht="25" customHeight="1">
      <c r="A7" s="0" t="inlineStr">
        <is>
          <t xml:space="preserve">Основной продукт · себестоимость</t>
        </is>
      </c>
      <c r="B7" s="2">
        <f>(B6*('Вводные'!$B$34/100))</f>
        <v>892500</v>
      </c>
      <c r="C7" s="2">
        <f>(C6*('Вводные'!$B$34/100))</f>
        <v>928199.9999999999</v>
      </c>
      <c r="D7" s="2">
        <f>(D6*('Вводные'!$B$34/100))</f>
        <v>965327.9999999999</v>
      </c>
      <c r="E7" s="2">
        <f>(E6*('Вводные'!$B$34/100))</f>
        <v>1003941.12</v>
      </c>
      <c r="F7" s="2">
        <f>(F6*('Вводные'!$B$34/100))</f>
        <v>1044098.7648</v>
      </c>
      <c r="G7" s="2">
        <f>(G6*('Вводные'!$B$34/100))</f>
        <v>1085862.715392</v>
      </c>
      <c r="H7" s="2">
        <f>(H6*('Вводные'!$B$34/100))</f>
        <v>1129297.22400768</v>
      </c>
      <c r="I7" s="2">
        <f>(I6*('Вводные'!$B$34/100))</f>
        <v>1174469.1129679873</v>
      </c>
      <c r="J7" s="2">
        <f>(J6*('Вводные'!$B$34/100))</f>
        <v>1221447.8774867067</v>
      </c>
      <c r="K7" s="2">
        <f>(K6*('Вводные'!$B$34/100))</f>
        <v>1270305.792586175</v>
      </c>
      <c r="L7" s="2">
        <f>(L6*('Вводные'!$B$34/100))</f>
        <v>1321118.0242896222</v>
      </c>
      <c r="M7" s="2">
        <f>(M6*('Вводные'!$B$34/100))</f>
        <v>1373962.7452612075</v>
      </c>
      <c r="N7" s="2">
        <f>SUM(B7:M7)</f>
        <v>13410531.37679138</v>
      </c>
      <c r="O7" s="0" t="inlineStr">
        <is>
          <t xml:space="preserve">Продажи</t>
        </is>
      </c>
    </row>
    <row r="8" ht="55" customHeight="1">
      <c r="A8" s="5" t="inlineStr">
        <is>
          <t xml:space="preserve">Выручка / оборот</t>
        </is>
      </c>
      <c r="B8" s="2">
        <f>IF(('Вводные'!$B$4="manual"),('Вводные'!$B$18*'Вводные'!$B$17),B6)</f>
        <v>2550000</v>
      </c>
      <c r="C8" s="2">
        <f>IF(('Вводные'!$B$4="manual"),('Вводные'!$B$19*'Вводные'!$B$17),C6)</f>
        <v>2652000</v>
      </c>
      <c r="D8" s="2">
        <f>IF(('Вводные'!$B$4="manual"),('Вводные'!$B$20*'Вводные'!$B$17),D6)</f>
        <v>2758080</v>
      </c>
      <c r="E8" s="2">
        <f>IF(('Вводные'!$B$4="manual"),('Вводные'!$B$21*'Вводные'!$B$17),E6)</f>
        <v>2868403.2</v>
      </c>
      <c r="F8" s="2">
        <f>IF(('Вводные'!$B$4="manual"),('Вводные'!$B$22*'Вводные'!$B$17),F6)</f>
        <v>2983139.328</v>
      </c>
      <c r="G8" s="2">
        <f>IF(('Вводные'!$B$4="manual"),('Вводные'!$B$23*'Вводные'!$B$17),G6)</f>
        <v>3102464.90112</v>
      </c>
      <c r="H8" s="2">
        <f>IF(('Вводные'!$B$4="manual"),('Вводные'!$B$24*'Вводные'!$B$17),H6)</f>
        <v>3226563.4971648008</v>
      </c>
      <c r="I8" s="2">
        <f>IF(('Вводные'!$B$4="manual"),('Вводные'!$B$25*'Вводные'!$B$17),I6)</f>
        <v>3355626.0370513927</v>
      </c>
      <c r="J8" s="2">
        <f>IF(('Вводные'!$B$4="manual"),('Вводные'!$B$26*'Вводные'!$B$17),J6)</f>
        <v>3489851.0785334483</v>
      </c>
      <c r="K8" s="2">
        <f>IF(('Вводные'!$B$4="manual"),('Вводные'!$B$27*'Вводные'!$B$17),K6)</f>
        <v>3629445.1216747863</v>
      </c>
      <c r="L8" s="2">
        <f>IF(('Вводные'!$B$4="manual"),('Вводные'!$B$28*'Вводные'!$B$17),L6)</f>
        <v>3774622.9265417783</v>
      </c>
      <c r="M8" s="2">
        <f>IF(('Вводные'!$B$4="manual"),('Вводные'!$B$29*'Вводные'!$B$17),M6)</f>
        <v>3925607.84360345</v>
      </c>
      <c r="N8" s="2">
        <f>SUM(B8:M8)</f>
        <v>38315803.933689654</v>
      </c>
      <c r="O8" s="0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5" t="inlineStr">
        <is>
          <t xml:space="preserve">Себестоимость продаж</t>
        </is>
      </c>
      <c r="B9" s="2">
        <f>IF(('Вводные'!$B$4="manual"),(B8*('Вводные'!$B$5/100)),B7)</f>
        <v>892500</v>
      </c>
      <c r="C9" s="2">
        <f>IF(('Вводные'!$B$4="manual"),(C8*('Вводные'!$B$5/100)),C7)</f>
        <v>928199.9999999999</v>
      </c>
      <c r="D9" s="2">
        <f>IF(('Вводные'!$B$4="manual"),(D8*('Вводные'!$B$5/100)),D7)</f>
        <v>965327.9999999999</v>
      </c>
      <c r="E9" s="2">
        <f>IF(('Вводные'!$B$4="manual"),(E8*('Вводные'!$B$5/100)),E7)</f>
        <v>1003941.12</v>
      </c>
      <c r="F9" s="2">
        <f>IF(('Вводные'!$B$4="manual"),(F8*('Вводные'!$B$5/100)),F7)</f>
        <v>1044098.7648</v>
      </c>
      <c r="G9" s="2">
        <f>IF(('Вводные'!$B$4="manual"),(G8*('Вводные'!$B$5/100)),G7)</f>
        <v>1085862.715392</v>
      </c>
      <c r="H9" s="2">
        <f>IF(('Вводные'!$B$4="manual"),(H8*('Вводные'!$B$5/100)),H7)</f>
        <v>1129297.22400768</v>
      </c>
      <c r="I9" s="2">
        <f>IF(('Вводные'!$B$4="manual"),(I8*('Вводные'!$B$5/100)),I7)</f>
        <v>1174469.1129679873</v>
      </c>
      <c r="J9" s="2">
        <f>IF(('Вводные'!$B$4="manual"),(J8*('Вводные'!$B$5/100)),J7)</f>
        <v>1221447.8774867067</v>
      </c>
      <c r="K9" s="2">
        <f>IF(('Вводные'!$B$4="manual"),(K8*('Вводные'!$B$5/100)),K7)</f>
        <v>1270305.792586175</v>
      </c>
      <c r="L9" s="2">
        <f>IF(('Вводные'!$B$4="manual"),(L8*('Вводные'!$B$5/100)),L7)</f>
        <v>1321118.0242896222</v>
      </c>
      <c r="M9" s="2">
        <f>IF(('Вводные'!$B$4="manual"),(M8*('Вводные'!$B$5/100)),M7)</f>
        <v>1373962.7452612075</v>
      </c>
      <c r="N9" s="2">
        <f>SUM(B9:M9)</f>
        <v>13410531.37679138</v>
      </c>
      <c r="O9" s="0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5" t="inlineStr">
        <is>
          <t xml:space="preserve">Валовая прибыль</t>
        </is>
      </c>
      <c r="B10" s="2">
        <f>(B8-B9)</f>
        <v>1657500</v>
      </c>
      <c r="C10" s="2">
        <f>(C8-C9)</f>
        <v>1723800</v>
      </c>
      <c r="D10" s="2">
        <f>(D8-D9)</f>
        <v>1792752</v>
      </c>
      <c r="E10" s="2">
        <f>(E8-E9)</f>
        <v>1864462.08</v>
      </c>
      <c r="F10" s="2">
        <f>(F8-F9)</f>
        <v>1939040.5632000002</v>
      </c>
      <c r="G10" s="2">
        <f>(G8-G9)</f>
        <v>2016602.185728</v>
      </c>
      <c r="H10" s="2">
        <f>(H8-H9)</f>
        <v>2097266.2731571207</v>
      </c>
      <c r="I10" s="2">
        <f>(I8-I9)</f>
        <v>2181156.924083405</v>
      </c>
      <c r="J10" s="2">
        <f>(J8-J9)</f>
        <v>2268403.2010467416</v>
      </c>
      <c r="K10" s="2">
        <f>(K8-K9)</f>
        <v>2359139.3290886115</v>
      </c>
      <c r="L10" s="2">
        <f>(L8-L9)</f>
        <v>2453504.9022521563</v>
      </c>
      <c r="M10" s="2">
        <f>(M8-M9)</f>
        <v>2551645.0983422427</v>
      </c>
      <c r="N10" s="2">
        <f>SUM(B10:M10)</f>
        <v>24905272.55689828</v>
      </c>
      <c r="O10" s="0" t="inlineStr">
        <is>
          <t xml:space="preserve">Выручка − себестоимость.</t>
        </is>
      </c>
    </row>
    <row r="11" ht="25" customHeight="1">
      <c r="A11" s="0" t="inlineStr">
        <is>
          <t xml:space="preserve">Менеджер · оклады и бонусы</t>
        </is>
      </c>
      <c r="B11" s="2">
        <f>IF(AND((1&gt;='Вводные'!$B$43),(1&lt;='Вводные'!$B$44)),(('Вводные'!$B$38*('Вводные'!$B$39+'Вводные'!$B$40))*((1+('Вводные'!$B$42/100))^MAX(0,(1-'Вводные'!$B$43)))),0)</f>
        <v>300000</v>
      </c>
      <c r="C11" s="2">
        <f>IF(AND((2&gt;='Вводные'!$B$43),(2&lt;='Вводные'!$B$44)),(('Вводные'!$B$38*('Вводные'!$B$39+'Вводные'!$B$40))*((1+('Вводные'!$B$42/100))^MAX(0,(2-'Вводные'!$B$43)))),0)</f>
        <v>300000</v>
      </c>
      <c r="D11" s="2">
        <f>IF(AND((3&gt;='Вводные'!$B$43),(3&lt;='Вводные'!$B$44)),(('Вводные'!$B$38*('Вводные'!$B$39+'Вводные'!$B$40))*((1+('Вводные'!$B$42/100))^MAX(0,(3-'Вводные'!$B$43)))),0)</f>
        <v>300000</v>
      </c>
      <c r="E11" s="2">
        <f>IF(AND((4&gt;='Вводные'!$B$43),(4&lt;='Вводные'!$B$44)),(('Вводные'!$B$38*('Вводные'!$B$39+'Вводные'!$B$40))*((1+('Вводные'!$B$42/100))^MAX(0,(4-'Вводные'!$B$43)))),0)</f>
        <v>300000</v>
      </c>
      <c r="F11" s="2">
        <f>IF(AND((5&gt;='Вводные'!$B$43),(5&lt;='Вводные'!$B$44)),(('Вводные'!$B$38*('Вводные'!$B$39+'Вводные'!$B$40))*((1+('Вводные'!$B$42/100))^MAX(0,(5-'Вводные'!$B$43)))),0)</f>
        <v>300000</v>
      </c>
      <c r="G11" s="2">
        <f>IF(AND((6&gt;='Вводные'!$B$43),(6&lt;='Вводные'!$B$44)),(('Вводные'!$B$38*('Вводные'!$B$39+'Вводные'!$B$40))*((1+('Вводные'!$B$42/100))^MAX(0,(6-'Вводные'!$B$43)))),0)</f>
        <v>300000</v>
      </c>
      <c r="H11" s="2">
        <f>IF(AND((7&gt;='Вводные'!$B$43),(7&lt;='Вводные'!$B$44)),(('Вводные'!$B$38*('Вводные'!$B$39+'Вводные'!$B$40))*((1+('Вводные'!$B$42/100))^MAX(0,(7-'Вводные'!$B$43)))),0)</f>
        <v>300000</v>
      </c>
      <c r="I11" s="2">
        <f>IF(AND((8&gt;='Вводные'!$B$43),(8&lt;='Вводные'!$B$44)),(('Вводные'!$B$38*('Вводные'!$B$39+'Вводные'!$B$40))*((1+('Вводные'!$B$42/100))^MAX(0,(8-'Вводные'!$B$43)))),0)</f>
        <v>300000</v>
      </c>
      <c r="J11" s="2">
        <f>IF(AND((9&gt;='Вводные'!$B$43),(9&lt;='Вводные'!$B$44)),(('Вводные'!$B$38*('Вводные'!$B$39+'Вводные'!$B$40))*((1+('Вводные'!$B$42/100))^MAX(0,(9-'Вводные'!$B$43)))),0)</f>
        <v>300000</v>
      </c>
      <c r="K11" s="2">
        <f>IF(AND((10&gt;='Вводные'!$B$43),(10&lt;='Вводные'!$B$44)),(('Вводные'!$B$38*('Вводные'!$B$39+'Вводные'!$B$40))*((1+('Вводные'!$B$42/100))^MAX(0,(10-'Вводные'!$B$43)))),0)</f>
        <v>300000</v>
      </c>
      <c r="L11" s="2">
        <f>IF(AND((11&gt;='Вводные'!$B$43),(11&lt;='Вводные'!$B$44)),(('Вводные'!$B$38*('Вводные'!$B$39+'Вводные'!$B$40))*((1+('Вводные'!$B$42/100))^MAX(0,(11-'Вводные'!$B$43)))),0)</f>
        <v>300000</v>
      </c>
      <c r="M11" s="2">
        <f>IF(AND((12&gt;='Вводные'!$B$43),(12&lt;='Вводные'!$B$44)),(('Вводные'!$B$38*('Вводные'!$B$39+'Вводные'!$B$40))*((1+('Вводные'!$B$42/100))^MAX(0,(12-'Вводные'!$B$43)))),0)</f>
        <v>300000</v>
      </c>
      <c r="N11" s="2">
        <f>SUM(B11:M11)</f>
        <v>3600000</v>
      </c>
      <c r="O11" s="0" t="inlineStr">
        <is>
          <t xml:space="preserve">Команда</t>
        </is>
      </c>
    </row>
    <row r="12" ht="25" customHeight="1">
      <c r="A12" s="0" t="inlineStr">
        <is>
          <t xml:space="preserve">Менеджер · начисления</t>
        </is>
      </c>
      <c r="B12" s="2">
        <f>(B11*('Вводные'!$B$41/100))</f>
        <v>45000</v>
      </c>
      <c r="C12" s="2">
        <f>(C11*('Вводные'!$B$41/100))</f>
        <v>45000</v>
      </c>
      <c r="D12" s="2">
        <f>(D11*('Вводные'!$B$41/100))</f>
        <v>45000</v>
      </c>
      <c r="E12" s="2">
        <f>(E11*('Вводные'!$B$41/100))</f>
        <v>45000</v>
      </c>
      <c r="F12" s="2">
        <f>(F11*('Вводные'!$B$41/100))</f>
        <v>45000</v>
      </c>
      <c r="G12" s="2">
        <f>(G11*('Вводные'!$B$41/100))</f>
        <v>45000</v>
      </c>
      <c r="H12" s="2">
        <f>(H11*('Вводные'!$B$41/100))</f>
        <v>45000</v>
      </c>
      <c r="I12" s="2">
        <f>(I11*('Вводные'!$B$41/100))</f>
        <v>45000</v>
      </c>
      <c r="J12" s="2">
        <f>(J11*('Вводные'!$B$41/100))</f>
        <v>45000</v>
      </c>
      <c r="K12" s="2">
        <f>(K11*('Вводные'!$B$41/100))</f>
        <v>45000</v>
      </c>
      <c r="L12" s="2">
        <f>(L11*('Вводные'!$B$41/100))</f>
        <v>45000</v>
      </c>
      <c r="M12" s="2">
        <f>(M11*('Вводные'!$B$41/100))</f>
        <v>45000</v>
      </c>
      <c r="N12" s="2">
        <f>SUM(B12:M12)</f>
        <v>540000</v>
      </c>
      <c r="O12" s="0" t="inlineStr">
        <is>
          <t xml:space="preserve">Команда</t>
        </is>
      </c>
    </row>
    <row r="13" ht="25" customHeight="1">
      <c r="A13" s="5" t="inlineStr">
        <is>
          <t xml:space="preserve">Оклады и бонусы</t>
        </is>
      </c>
      <c r="B13" s="2">
        <f>B11</f>
        <v>300000</v>
      </c>
      <c r="C13" s="2">
        <f>C11</f>
        <v>300000</v>
      </c>
      <c r="D13" s="2">
        <f>D11</f>
        <v>300000</v>
      </c>
      <c r="E13" s="2">
        <f>E11</f>
        <v>300000</v>
      </c>
      <c r="F13" s="2">
        <f>F11</f>
        <v>300000</v>
      </c>
      <c r="G13" s="2">
        <f>G11</f>
        <v>300000</v>
      </c>
      <c r="H13" s="2">
        <f>H11</f>
        <v>300000</v>
      </c>
      <c r="I13" s="2">
        <f>I11</f>
        <v>300000</v>
      </c>
      <c r="J13" s="2">
        <f>J11</f>
        <v>300000</v>
      </c>
      <c r="K13" s="2">
        <f>K11</f>
        <v>300000</v>
      </c>
      <c r="L13" s="2">
        <f>L11</f>
        <v>300000</v>
      </c>
      <c r="M13" s="2">
        <f>M11</f>
        <v>300000</v>
      </c>
      <c r="N13" s="2">
        <f>SUM(B13:M13)</f>
        <v>3600000</v>
      </c>
      <c r="O13" s="0" t="inlineStr">
        <is>
          <t xml:space="preserve">Команда</t>
        </is>
      </c>
    </row>
    <row r="14" ht="25" customHeight="1">
      <c r="A14" s="5" t="inlineStr">
        <is>
          <t xml:space="preserve">Начисления работодателя</t>
        </is>
      </c>
      <c r="B14" s="2">
        <f>B12</f>
        <v>45000</v>
      </c>
      <c r="C14" s="2">
        <f>C12</f>
        <v>45000</v>
      </c>
      <c r="D14" s="2">
        <f>D12</f>
        <v>45000</v>
      </c>
      <c r="E14" s="2">
        <f>E12</f>
        <v>45000</v>
      </c>
      <c r="F14" s="2">
        <f>F12</f>
        <v>45000</v>
      </c>
      <c r="G14" s="2">
        <f>G12</f>
        <v>45000</v>
      </c>
      <c r="H14" s="2">
        <f>H12</f>
        <v>45000</v>
      </c>
      <c r="I14" s="2">
        <f>I12</f>
        <v>45000</v>
      </c>
      <c r="J14" s="2">
        <f>J12</f>
        <v>45000</v>
      </c>
      <c r="K14" s="2">
        <f>K12</f>
        <v>45000</v>
      </c>
      <c r="L14" s="2">
        <f>L12</f>
        <v>45000</v>
      </c>
      <c r="M14" s="2">
        <f>M12</f>
        <v>45000</v>
      </c>
      <c r="N14" s="2">
        <f>SUM(B14:M14)</f>
        <v>540000</v>
      </c>
      <c r="O14" s="0" t="inlineStr">
        <is>
          <t xml:space="preserve">Команда</t>
        </is>
      </c>
    </row>
    <row r="15" ht="55" customHeight="1">
      <c r="A15" s="5" t="inlineStr">
        <is>
          <t xml:space="preserve">Команда — всего</t>
        </is>
      </c>
      <c r="B15" s="2">
        <f>(B13+B14)</f>
        <v>345000</v>
      </c>
      <c r="C15" s="2">
        <f>(C13+C14)</f>
        <v>345000</v>
      </c>
      <c r="D15" s="2">
        <f>(D13+D14)</f>
        <v>345000</v>
      </c>
      <c r="E15" s="2">
        <f>(E13+E14)</f>
        <v>345000</v>
      </c>
      <c r="F15" s="2">
        <f>(F13+F14)</f>
        <v>345000</v>
      </c>
      <c r="G15" s="2">
        <f>(G13+G14)</f>
        <v>345000</v>
      </c>
      <c r="H15" s="2">
        <f>(H13+H14)</f>
        <v>345000</v>
      </c>
      <c r="I15" s="2">
        <f>(I13+I14)</f>
        <v>345000</v>
      </c>
      <c r="J15" s="2">
        <f>(J13+J14)</f>
        <v>345000</v>
      </c>
      <c r="K15" s="2">
        <f>(K13+K14)</f>
        <v>345000</v>
      </c>
      <c r="L15" s="2">
        <f>(L13+L14)</f>
        <v>345000</v>
      </c>
      <c r="M15" s="2">
        <f>(M13+M14)</f>
        <v>345000</v>
      </c>
      <c r="N15" s="2">
        <f>SUM(B15:M15)</f>
        <v>4140000</v>
      </c>
      <c r="O15" s="0" t="inlineStr">
        <is>
          <t xml:space="preserve">Количество × (оклад + бонус) × рост × (1 + начисления). Ставки задаёте вы.</t>
        </is>
      </c>
    </row>
    <row r="16" ht="25" customHeight="1">
      <c r="A16" s="0" t="inlineStr">
        <is>
          <t xml:space="preserve">Реклама · затраты</t>
        </is>
      </c>
      <c r="B16" s="2">
        <f>IF(AND((1&gt;='Вводные'!$B$53),(1&lt;='Вводные'!$B$54)),(('Вводные'!$B$46*((1+('Вводные'!$B$48/100))^MAX(0,(1-'Вводные'!$B$53))))+(B8*('Вводные'!$B$47/100))),0)</f>
        <v>120000</v>
      </c>
      <c r="C16" s="2">
        <f>IF(AND((2&gt;='Вводные'!$B$53),(2&lt;='Вводные'!$B$54)),(('Вводные'!$B$46*((1+('Вводные'!$B$48/100))^MAX(0,(2-'Вводные'!$B$53))))+(C8*('Вводные'!$B$47/100))),0)</f>
        <v>120000</v>
      </c>
      <c r="D16" s="2">
        <f>IF(AND((3&gt;='Вводные'!$B$53),(3&lt;='Вводные'!$B$54)),(('Вводные'!$B$46*((1+('Вводные'!$B$48/100))^MAX(0,(3-'Вводные'!$B$53))))+(D8*('Вводные'!$B$47/100))),0)</f>
        <v>120000</v>
      </c>
      <c r="E16" s="2">
        <f>IF(AND((4&gt;='Вводные'!$B$53),(4&lt;='Вводные'!$B$54)),(('Вводные'!$B$46*((1+('Вводные'!$B$48/100))^MAX(0,(4-'Вводные'!$B$53))))+(E8*('Вводные'!$B$47/100))),0)</f>
        <v>120000</v>
      </c>
      <c r="F16" s="2">
        <f>IF(AND((5&gt;='Вводные'!$B$53),(5&lt;='Вводные'!$B$54)),(('Вводные'!$B$46*((1+('Вводные'!$B$48/100))^MAX(0,(5-'Вводные'!$B$53))))+(F8*('Вводные'!$B$47/100))),0)</f>
        <v>120000</v>
      </c>
      <c r="G16" s="2">
        <f>IF(AND((6&gt;='Вводные'!$B$53),(6&lt;='Вводные'!$B$54)),(('Вводные'!$B$46*((1+('Вводные'!$B$48/100))^MAX(0,(6-'Вводные'!$B$53))))+(G8*('Вводные'!$B$47/100))),0)</f>
        <v>120000</v>
      </c>
      <c r="H16" s="2">
        <f>IF(AND((7&gt;='Вводные'!$B$53),(7&lt;='Вводные'!$B$54)),(('Вводные'!$B$46*((1+('Вводные'!$B$48/100))^MAX(0,(7-'Вводные'!$B$53))))+(H8*('Вводные'!$B$47/100))),0)</f>
        <v>120000</v>
      </c>
      <c r="I16" s="2">
        <f>IF(AND((8&gt;='Вводные'!$B$53),(8&lt;='Вводные'!$B$54)),(('Вводные'!$B$46*((1+('Вводные'!$B$48/100))^MAX(0,(8-'Вводные'!$B$53))))+(I8*('Вводные'!$B$47/100))),0)</f>
        <v>120000</v>
      </c>
      <c r="J16" s="2">
        <f>IF(AND((9&gt;='Вводные'!$B$53),(9&lt;='Вводные'!$B$54)),(('Вводные'!$B$46*((1+('Вводные'!$B$48/100))^MAX(0,(9-'Вводные'!$B$53))))+(J8*('Вводные'!$B$47/100))),0)</f>
        <v>120000</v>
      </c>
      <c r="K16" s="2">
        <f>IF(AND((10&gt;='Вводные'!$B$53),(10&lt;='Вводные'!$B$54)),(('Вводные'!$B$46*((1+('Вводные'!$B$48/100))^MAX(0,(10-'Вводные'!$B$53))))+(K8*('Вводные'!$B$47/100))),0)</f>
        <v>120000</v>
      </c>
      <c r="L16" s="2">
        <f>IF(AND((11&gt;='Вводные'!$B$53),(11&lt;='Вводные'!$B$54)),(('Вводные'!$B$46*((1+('Вводные'!$B$48/100))^MAX(0,(11-'Вводные'!$B$53))))+(L8*('Вводные'!$B$47/100))),0)</f>
        <v>120000</v>
      </c>
      <c r="M16" s="2">
        <f>IF(AND((12&gt;='Вводные'!$B$53),(12&lt;='Вводные'!$B$54)),(('Вводные'!$B$46*((1+('Вводные'!$B$48/100))^MAX(0,(12-'Вводные'!$B$53))))+(M8*('Вводные'!$B$47/100))),0)</f>
        <v>120000</v>
      </c>
      <c r="N16" s="2">
        <f>SUM(B16:M16)</f>
        <v>1440000</v>
      </c>
      <c r="O16" s="0" t="inlineStr">
        <is>
          <t xml:space="preserve">Маркетинг</t>
        </is>
      </c>
    </row>
    <row r="17" ht="25" customHeight="1">
      <c r="A17" s="0" t="inlineStr">
        <is>
          <t xml:space="preserve">Реклама · клики</t>
        </is>
      </c>
      <c r="B17" s="2">
        <f>IF(('Вводные'!$B$49&gt;0),(B16/'Вводные'!$B$49),0)</f>
        <v>800</v>
      </c>
      <c r="C17" s="2">
        <f>IF(('Вводные'!$B$49&gt;0),(C16/'Вводные'!$B$49),0)</f>
        <v>800</v>
      </c>
      <c r="D17" s="2">
        <f>IF(('Вводные'!$B$49&gt;0),(D16/'Вводные'!$B$49),0)</f>
        <v>800</v>
      </c>
      <c r="E17" s="2">
        <f>IF(('Вводные'!$B$49&gt;0),(E16/'Вводные'!$B$49),0)</f>
        <v>800</v>
      </c>
      <c r="F17" s="2">
        <f>IF(('Вводные'!$B$49&gt;0),(F16/'Вводные'!$B$49),0)</f>
        <v>800</v>
      </c>
      <c r="G17" s="2">
        <f>IF(('Вводные'!$B$49&gt;0),(G16/'Вводные'!$B$49),0)</f>
        <v>800</v>
      </c>
      <c r="H17" s="2">
        <f>IF(('Вводные'!$B$49&gt;0),(H16/'Вводные'!$B$49),0)</f>
        <v>800</v>
      </c>
      <c r="I17" s="2">
        <f>IF(('Вводные'!$B$49&gt;0),(I16/'Вводные'!$B$49),0)</f>
        <v>800</v>
      </c>
      <c r="J17" s="2">
        <f>IF(('Вводные'!$B$49&gt;0),(J16/'Вводные'!$B$49),0)</f>
        <v>800</v>
      </c>
      <c r="K17" s="2">
        <f>IF(('Вводные'!$B$49&gt;0),(K16/'Вводные'!$B$49),0)</f>
        <v>800</v>
      </c>
      <c r="L17" s="2">
        <f>IF(('Вводные'!$B$49&gt;0),(L16/'Вводные'!$B$49),0)</f>
        <v>800</v>
      </c>
      <c r="M17" s="2">
        <f>IF(('Вводные'!$B$49&gt;0),(M16/'Вводные'!$B$49),0)</f>
        <v>800</v>
      </c>
      <c r="N17" s="2">
        <f>SUM(B17:M17)</f>
        <v>9600</v>
      </c>
      <c r="O17" s="0" t="inlineStr">
        <is>
          <t xml:space="preserve">Маркетинг</t>
        </is>
      </c>
    </row>
    <row r="18" ht="25" customHeight="1">
      <c r="A18" s="0" t="inlineStr">
        <is>
          <t xml:space="preserve">Реклама · заявки</t>
        </is>
      </c>
      <c r="B18" s="2">
        <f>(B17*('Вводные'!$B$50/100))</f>
        <v>80</v>
      </c>
      <c r="C18" s="2">
        <f>(C17*('Вводные'!$B$50/100))</f>
        <v>80</v>
      </c>
      <c r="D18" s="2">
        <f>(D17*('Вводные'!$B$50/100))</f>
        <v>80</v>
      </c>
      <c r="E18" s="2">
        <f>(E17*('Вводные'!$B$50/100))</f>
        <v>80</v>
      </c>
      <c r="F18" s="2">
        <f>(F17*('Вводные'!$B$50/100))</f>
        <v>80</v>
      </c>
      <c r="G18" s="2">
        <f>(G17*('Вводные'!$B$50/100))</f>
        <v>80</v>
      </c>
      <c r="H18" s="2">
        <f>(H17*('Вводные'!$B$50/100))</f>
        <v>80</v>
      </c>
      <c r="I18" s="2">
        <f>(I17*('Вводные'!$B$50/100))</f>
        <v>80</v>
      </c>
      <c r="J18" s="2">
        <f>(J17*('Вводные'!$B$50/100))</f>
        <v>80</v>
      </c>
      <c r="K18" s="2">
        <f>(K17*('Вводные'!$B$50/100))</f>
        <v>80</v>
      </c>
      <c r="L18" s="2">
        <f>(L17*('Вводные'!$B$50/100))</f>
        <v>80</v>
      </c>
      <c r="M18" s="2">
        <f>(M17*('Вводные'!$B$50/100))</f>
        <v>80</v>
      </c>
      <c r="N18" s="2">
        <f>SUM(B18:M18)</f>
        <v>960</v>
      </c>
      <c r="O18" s="0" t="inlineStr">
        <is>
          <t xml:space="preserve">Маркетинг</t>
        </is>
      </c>
    </row>
    <row r="19" ht="25" customHeight="1">
      <c r="A19" s="0" t="inlineStr">
        <is>
          <t xml:space="preserve">Реклама · клиенты</t>
        </is>
      </c>
      <c r="B19" s="2">
        <f>(B18*('Вводные'!$B$51/100))</f>
        <v>16</v>
      </c>
      <c r="C19" s="2">
        <f>(C18*('Вводные'!$B$51/100))</f>
        <v>16</v>
      </c>
      <c r="D19" s="2">
        <f>(D18*('Вводные'!$B$51/100))</f>
        <v>16</v>
      </c>
      <c r="E19" s="2">
        <f>(E18*('Вводные'!$B$51/100))</f>
        <v>16</v>
      </c>
      <c r="F19" s="2">
        <f>(F18*('Вводные'!$B$51/100))</f>
        <v>16</v>
      </c>
      <c r="G19" s="2">
        <f>(G18*('Вводные'!$B$51/100))</f>
        <v>16</v>
      </c>
      <c r="H19" s="2">
        <f>(H18*('Вводные'!$B$51/100))</f>
        <v>16</v>
      </c>
      <c r="I19" s="2">
        <f>(I18*('Вводные'!$B$51/100))</f>
        <v>16</v>
      </c>
      <c r="J19" s="2">
        <f>(J18*('Вводные'!$B$51/100))</f>
        <v>16</v>
      </c>
      <c r="K19" s="2">
        <f>(K18*('Вводные'!$B$51/100))</f>
        <v>16</v>
      </c>
      <c r="L19" s="2">
        <f>(L18*('Вводные'!$B$51/100))</f>
        <v>16</v>
      </c>
      <c r="M19" s="2">
        <f>(M18*('Вводные'!$B$51/100))</f>
        <v>16</v>
      </c>
      <c r="N19" s="2">
        <f>SUM(B19:M19)</f>
        <v>192</v>
      </c>
      <c r="O19" s="0" t="inlineStr">
        <is>
          <t xml:space="preserve">Маркетинг</t>
        </is>
      </c>
    </row>
    <row r="20" ht="25" customHeight="1">
      <c r="A20" s="0" t="inlineStr">
        <is>
          <t xml:space="preserve">Реклама · оценка выручки</t>
        </is>
      </c>
      <c r="B20" s="2">
        <f>(B19*'Вводные'!$B$52)</f>
        <v>136000</v>
      </c>
      <c r="C20" s="2">
        <f>(C19*'Вводные'!$B$52)</f>
        <v>136000</v>
      </c>
      <c r="D20" s="2">
        <f>(D19*'Вводные'!$B$52)</f>
        <v>136000</v>
      </c>
      <c r="E20" s="2">
        <f>(E19*'Вводные'!$B$52)</f>
        <v>136000</v>
      </c>
      <c r="F20" s="2">
        <f>(F19*'Вводные'!$B$52)</f>
        <v>136000</v>
      </c>
      <c r="G20" s="2">
        <f>(G19*'Вводные'!$B$52)</f>
        <v>136000</v>
      </c>
      <c r="H20" s="2">
        <f>(H19*'Вводные'!$B$52)</f>
        <v>136000</v>
      </c>
      <c r="I20" s="2">
        <f>(I19*'Вводные'!$B$52)</f>
        <v>136000</v>
      </c>
      <c r="J20" s="2">
        <f>(J19*'Вводные'!$B$52)</f>
        <v>136000</v>
      </c>
      <c r="K20" s="2">
        <f>(K19*'Вводные'!$B$52)</f>
        <v>136000</v>
      </c>
      <c r="L20" s="2">
        <f>(L19*'Вводные'!$B$52)</f>
        <v>136000</v>
      </c>
      <c r="M20" s="2">
        <f>(M19*'Вводные'!$B$52)</f>
        <v>136000</v>
      </c>
      <c r="N20" s="2">
        <f>SUM(B20:M20)</f>
        <v>1632000</v>
      </c>
      <c r="O20" s="0" t="inlineStr">
        <is>
          <t xml:space="preserve">Маркетинг</t>
        </is>
      </c>
    </row>
    <row r="21" ht="55" customHeight="1">
      <c r="A21" s="5" t="inlineStr">
        <is>
          <t xml:space="preserve">Маркетинг — всего</t>
        </is>
      </c>
      <c r="B21" s="2">
        <f>B16</f>
        <v>120000</v>
      </c>
      <c r="C21" s="2">
        <f>C16</f>
        <v>120000</v>
      </c>
      <c r="D21" s="2">
        <f>D16</f>
        <v>120000</v>
      </c>
      <c r="E21" s="2">
        <f>E16</f>
        <v>120000</v>
      </c>
      <c r="F21" s="2">
        <f>F16</f>
        <v>120000</v>
      </c>
      <c r="G21" s="2">
        <f>G16</f>
        <v>120000</v>
      </c>
      <c r="H21" s="2">
        <f>H16</f>
        <v>120000</v>
      </c>
      <c r="I21" s="2">
        <f>I16</f>
        <v>120000</v>
      </c>
      <c r="J21" s="2">
        <f>J16</f>
        <v>120000</v>
      </c>
      <c r="K21" s="2">
        <f>K16</f>
        <v>120000</v>
      </c>
      <c r="L21" s="2">
        <f>L16</f>
        <v>120000</v>
      </c>
      <c r="M21" s="2">
        <f>M16</f>
        <v>120000</v>
      </c>
      <c r="N21" s="2">
        <f>SUM(B21:M21)</f>
        <v>1440000</v>
      </c>
      <c r="O21" s="0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22" ht="25" customHeight="1">
      <c r="A22" s="5" t="inlineStr">
        <is>
          <t xml:space="preserve">Заявки из рекламы, шт.</t>
        </is>
      </c>
      <c r="B22" s="2">
        <f>B18</f>
        <v>80</v>
      </c>
      <c r="C22" s="2">
        <f>C18</f>
        <v>80</v>
      </c>
      <c r="D22" s="2">
        <f>D18</f>
        <v>80</v>
      </c>
      <c r="E22" s="2">
        <f>E18</f>
        <v>80</v>
      </c>
      <c r="F22" s="2">
        <f>F18</f>
        <v>80</v>
      </c>
      <c r="G22" s="2">
        <f>G18</f>
        <v>80</v>
      </c>
      <c r="H22" s="2">
        <f>H18</f>
        <v>80</v>
      </c>
      <c r="I22" s="2">
        <f>I18</f>
        <v>80</v>
      </c>
      <c r="J22" s="2">
        <f>J18</f>
        <v>80</v>
      </c>
      <c r="K22" s="2">
        <f>K18</f>
        <v>80</v>
      </c>
      <c r="L22" s="2">
        <f>L18</f>
        <v>80</v>
      </c>
      <c r="M22" s="2">
        <f>M18</f>
        <v>80</v>
      </c>
      <c r="N22" s="2">
        <f>SUM(B22:M22)</f>
        <v>960</v>
      </c>
      <c r="O22" s="0" t="inlineStr">
        <is>
          <t xml:space="preserve">Маркетинг</t>
        </is>
      </c>
    </row>
    <row r="23" ht="25" customHeight="1">
      <c r="A23" s="5" t="inlineStr">
        <is>
          <t xml:space="preserve">Клиенты из рекламы, шт.</t>
        </is>
      </c>
      <c r="B23" s="2">
        <f>B19</f>
        <v>16</v>
      </c>
      <c r="C23" s="2">
        <f>C19</f>
        <v>16</v>
      </c>
      <c r="D23" s="2">
        <f>D19</f>
        <v>16</v>
      </c>
      <c r="E23" s="2">
        <f>E19</f>
        <v>16</v>
      </c>
      <c r="F23" s="2">
        <f>F19</f>
        <v>16</v>
      </c>
      <c r="G23" s="2">
        <f>G19</f>
        <v>16</v>
      </c>
      <c r="H23" s="2">
        <f>H19</f>
        <v>16</v>
      </c>
      <c r="I23" s="2">
        <f>I19</f>
        <v>16</v>
      </c>
      <c r="J23" s="2">
        <f>J19</f>
        <v>16</v>
      </c>
      <c r="K23" s="2">
        <f>K19</f>
        <v>16</v>
      </c>
      <c r="L23" s="2">
        <f>L19</f>
        <v>16</v>
      </c>
      <c r="M23" s="2">
        <f>M19</f>
        <v>16</v>
      </c>
      <c r="N23" s="2">
        <f>SUM(B23:M23)</f>
        <v>192</v>
      </c>
      <c r="O23" s="0" t="inlineStr">
        <is>
          <t xml:space="preserve">Маркетинг</t>
        </is>
      </c>
    </row>
    <row r="24" ht="55" customHeight="1">
      <c r="A24" s="5" t="inlineStr">
        <is>
          <t xml:space="preserve">Оценка выручки из рекламы</t>
        </is>
      </c>
      <c r="B24" s="2">
        <f>B20</f>
        <v>136000</v>
      </c>
      <c r="C24" s="2">
        <f>C20</f>
        <v>136000</v>
      </c>
      <c r="D24" s="2">
        <f>D20</f>
        <v>136000</v>
      </c>
      <c r="E24" s="2">
        <f>E20</f>
        <v>136000</v>
      </c>
      <c r="F24" s="2">
        <f>F20</f>
        <v>136000</v>
      </c>
      <c r="G24" s="2">
        <f>G20</f>
        <v>136000</v>
      </c>
      <c r="H24" s="2">
        <f>H20</f>
        <v>136000</v>
      </c>
      <c r="I24" s="2">
        <f>I20</f>
        <v>136000</v>
      </c>
      <c r="J24" s="2">
        <f>J20</f>
        <v>136000</v>
      </c>
      <c r="K24" s="2">
        <f>K20</f>
        <v>136000</v>
      </c>
      <c r="L24" s="2">
        <f>L20</f>
        <v>136000</v>
      </c>
      <c r="M24" s="2">
        <f>M20</f>
        <v>136000</v>
      </c>
      <c r="N24" s="2">
        <f>SUM(B24:M24)</f>
        <v>1632000</v>
      </c>
      <c r="O24" s="0" t="inlineStr">
        <is>
          <t xml:space="preserve">Клиенты × чек каждого канала. Не прибавляется к обороту, чтобы не считать продажи дважды.</t>
        </is>
      </c>
    </row>
    <row r="25" ht="25" customHeight="1">
      <c r="A25" s="0" t="inlineStr">
        <is>
          <t xml:space="preserve">Аренда</t>
        </is>
      </c>
      <c r="B25" s="2">
        <f>IF(AND(AND((1&gt;='Вводные'!$B$59),(1&lt;='Вводные'!$B$60)),IF(('Вводные'!$B$56="once"),(1='Вводные'!$B$59),TRUE)),IF(('Вводные'!$B$56="percent"),(B8*('Вводные'!$B$57/100)),('Вводные'!$B$57*((1+('Вводные'!$B$58/100))^MAX(0,(1-'Вводные'!$B$59))))),0)</f>
        <v>250000</v>
      </c>
      <c r="C25" s="2">
        <f>IF(AND(AND((2&gt;='Вводные'!$B$59),(2&lt;='Вводные'!$B$60)),IF(('Вводные'!$B$56="once"),(2='Вводные'!$B$59),TRUE)),IF(('Вводные'!$B$56="percent"),(C8*('Вводные'!$B$57/100)),('Вводные'!$B$57*((1+('Вводные'!$B$58/100))^MAX(0,(2-'Вводные'!$B$59))))),0)</f>
        <v>250000</v>
      </c>
      <c r="D25" s="2">
        <f>IF(AND(AND((3&gt;='Вводные'!$B$59),(3&lt;='Вводные'!$B$60)),IF(('Вводные'!$B$56="once"),(3='Вводные'!$B$59),TRUE)),IF(('Вводные'!$B$56="percent"),(D8*('Вводные'!$B$57/100)),('Вводные'!$B$57*((1+('Вводные'!$B$58/100))^MAX(0,(3-'Вводные'!$B$59))))),0)</f>
        <v>250000</v>
      </c>
      <c r="E25" s="2">
        <f>IF(AND(AND((4&gt;='Вводные'!$B$59),(4&lt;='Вводные'!$B$60)),IF(('Вводные'!$B$56="once"),(4='Вводные'!$B$59),TRUE)),IF(('Вводные'!$B$56="percent"),(E8*('Вводные'!$B$57/100)),('Вводные'!$B$57*((1+('Вводные'!$B$58/100))^MAX(0,(4-'Вводные'!$B$59))))),0)</f>
        <v>250000</v>
      </c>
      <c r="F25" s="2">
        <f>IF(AND(AND((5&gt;='Вводные'!$B$59),(5&lt;='Вводные'!$B$60)),IF(('Вводные'!$B$56="once"),(5='Вводные'!$B$59),TRUE)),IF(('Вводные'!$B$56="percent"),(F8*('Вводные'!$B$57/100)),('Вводные'!$B$57*((1+('Вводные'!$B$58/100))^MAX(0,(5-'Вводные'!$B$59))))),0)</f>
        <v>250000</v>
      </c>
      <c r="G25" s="2">
        <f>IF(AND(AND((6&gt;='Вводные'!$B$59),(6&lt;='Вводные'!$B$60)),IF(('Вводные'!$B$56="once"),(6='Вводные'!$B$59),TRUE)),IF(('Вводные'!$B$56="percent"),(G8*('Вводные'!$B$57/100)),('Вводные'!$B$57*((1+('Вводные'!$B$58/100))^MAX(0,(6-'Вводные'!$B$59))))),0)</f>
        <v>250000</v>
      </c>
      <c r="H25" s="2">
        <f>IF(AND(AND((7&gt;='Вводные'!$B$59),(7&lt;='Вводные'!$B$60)),IF(('Вводные'!$B$56="once"),(7='Вводные'!$B$59),TRUE)),IF(('Вводные'!$B$56="percent"),(H8*('Вводные'!$B$57/100)),('Вводные'!$B$57*((1+('Вводные'!$B$58/100))^MAX(0,(7-'Вводные'!$B$59))))),0)</f>
        <v>250000</v>
      </c>
      <c r="I25" s="2">
        <f>IF(AND(AND((8&gt;='Вводные'!$B$59),(8&lt;='Вводные'!$B$60)),IF(('Вводные'!$B$56="once"),(8='Вводные'!$B$59),TRUE)),IF(('Вводные'!$B$56="percent"),(I8*('Вводные'!$B$57/100)),('Вводные'!$B$57*((1+('Вводные'!$B$58/100))^MAX(0,(8-'Вводные'!$B$59))))),0)</f>
        <v>250000</v>
      </c>
      <c r="J25" s="2">
        <f>IF(AND(AND((9&gt;='Вводные'!$B$59),(9&lt;='Вводные'!$B$60)),IF(('Вводные'!$B$56="once"),(9='Вводные'!$B$59),TRUE)),IF(('Вводные'!$B$56="percent"),(J8*('Вводные'!$B$57/100)),('Вводные'!$B$57*((1+('Вводные'!$B$58/100))^MAX(0,(9-'Вводные'!$B$59))))),0)</f>
        <v>250000</v>
      </c>
      <c r="K25" s="2">
        <f>IF(AND(AND((10&gt;='Вводные'!$B$59),(10&lt;='Вводные'!$B$60)),IF(('Вводные'!$B$56="once"),(10='Вводные'!$B$59),TRUE)),IF(('Вводные'!$B$56="percent"),(K8*('Вводные'!$B$57/100)),('Вводные'!$B$57*((1+('Вводные'!$B$58/100))^MAX(0,(10-'Вводные'!$B$59))))),0)</f>
        <v>250000</v>
      </c>
      <c r="L25" s="2">
        <f>IF(AND(AND((11&gt;='Вводные'!$B$59),(11&lt;='Вводные'!$B$60)),IF(('Вводные'!$B$56="once"),(11='Вводные'!$B$59),TRUE)),IF(('Вводные'!$B$56="percent"),(L8*('Вводные'!$B$57/100)),('Вводные'!$B$57*((1+('Вводные'!$B$58/100))^MAX(0,(11-'Вводные'!$B$59))))),0)</f>
        <v>250000</v>
      </c>
      <c r="M25" s="2">
        <f>IF(AND(AND((12&gt;='Вводные'!$B$59),(12&lt;='Вводные'!$B$60)),IF(('Вводные'!$B$56="once"),(12='Вводные'!$B$59),TRUE)),IF(('Вводные'!$B$56="percent"),(M8*('Вводные'!$B$57/100)),('Вводные'!$B$57*((1+('Вводные'!$B$58/100))^MAX(0,(12-'Вводные'!$B$59))))),0)</f>
        <v>250000</v>
      </c>
      <c r="N25" s="2">
        <f>SUM(B25:M25)</f>
        <v>3000000</v>
      </c>
      <c r="O25" s="0" t="inlineStr">
        <is>
          <t xml:space="preserve">Прочие расходы</t>
        </is>
      </c>
    </row>
    <row r="26" ht="25" customHeight="1">
      <c r="A26" s="0" t="inlineStr">
        <is>
          <t xml:space="preserve">Сервисы и связь</t>
        </is>
      </c>
      <c r="B26" s="2">
        <f>IF(AND(AND((1&gt;='Вводные'!$B$65),(1&lt;='Вводные'!$B$66)),IF(('Вводные'!$B$62="once"),(1='Вводные'!$B$65),TRUE)),IF(('Вводные'!$B$62="percent"),(B8*('Вводные'!$B$63/100)),('Вводные'!$B$63*((1+('Вводные'!$B$64/100))^MAX(0,(1-'Вводные'!$B$65))))),0)</f>
        <v>35000</v>
      </c>
      <c r="C26" s="2">
        <f>IF(AND(AND((2&gt;='Вводные'!$B$65),(2&lt;='Вводные'!$B$66)),IF(('Вводные'!$B$62="once"),(2='Вводные'!$B$65),TRUE)),IF(('Вводные'!$B$62="percent"),(C8*('Вводные'!$B$63/100)),('Вводные'!$B$63*((1+('Вводные'!$B$64/100))^MAX(0,(2-'Вводные'!$B$65))))),0)</f>
        <v>35000</v>
      </c>
      <c r="D26" s="2">
        <f>IF(AND(AND((3&gt;='Вводные'!$B$65),(3&lt;='Вводные'!$B$66)),IF(('Вводные'!$B$62="once"),(3='Вводные'!$B$65),TRUE)),IF(('Вводные'!$B$62="percent"),(D8*('Вводные'!$B$63/100)),('Вводные'!$B$63*((1+('Вводные'!$B$64/100))^MAX(0,(3-'Вводные'!$B$65))))),0)</f>
        <v>35000</v>
      </c>
      <c r="E26" s="2">
        <f>IF(AND(AND((4&gt;='Вводные'!$B$65),(4&lt;='Вводные'!$B$66)),IF(('Вводные'!$B$62="once"),(4='Вводные'!$B$65),TRUE)),IF(('Вводные'!$B$62="percent"),(E8*('Вводные'!$B$63/100)),('Вводные'!$B$63*((1+('Вводные'!$B$64/100))^MAX(0,(4-'Вводные'!$B$65))))),0)</f>
        <v>35000</v>
      </c>
      <c r="F26" s="2">
        <f>IF(AND(AND((5&gt;='Вводные'!$B$65),(5&lt;='Вводные'!$B$66)),IF(('Вводные'!$B$62="once"),(5='Вводные'!$B$65),TRUE)),IF(('Вводные'!$B$62="percent"),(F8*('Вводные'!$B$63/100)),('Вводные'!$B$63*((1+('Вводные'!$B$64/100))^MAX(0,(5-'Вводные'!$B$65))))),0)</f>
        <v>35000</v>
      </c>
      <c r="G26" s="2">
        <f>IF(AND(AND((6&gt;='Вводные'!$B$65),(6&lt;='Вводные'!$B$66)),IF(('Вводные'!$B$62="once"),(6='Вводные'!$B$65),TRUE)),IF(('Вводные'!$B$62="percent"),(G8*('Вводные'!$B$63/100)),('Вводные'!$B$63*((1+('Вводные'!$B$64/100))^MAX(0,(6-'Вводные'!$B$65))))),0)</f>
        <v>35000</v>
      </c>
      <c r="H26" s="2">
        <f>IF(AND(AND((7&gt;='Вводные'!$B$65),(7&lt;='Вводные'!$B$66)),IF(('Вводные'!$B$62="once"),(7='Вводные'!$B$65),TRUE)),IF(('Вводные'!$B$62="percent"),(H8*('Вводные'!$B$63/100)),('Вводные'!$B$63*((1+('Вводные'!$B$64/100))^MAX(0,(7-'Вводные'!$B$65))))),0)</f>
        <v>35000</v>
      </c>
      <c r="I26" s="2">
        <f>IF(AND(AND((8&gt;='Вводные'!$B$65),(8&lt;='Вводные'!$B$66)),IF(('Вводные'!$B$62="once"),(8='Вводные'!$B$65),TRUE)),IF(('Вводные'!$B$62="percent"),(I8*('Вводные'!$B$63/100)),('Вводные'!$B$63*((1+('Вводные'!$B$64/100))^MAX(0,(8-'Вводные'!$B$65))))),0)</f>
        <v>35000</v>
      </c>
      <c r="J26" s="2">
        <f>IF(AND(AND((9&gt;='Вводные'!$B$65),(9&lt;='Вводные'!$B$66)),IF(('Вводные'!$B$62="once"),(9='Вводные'!$B$65),TRUE)),IF(('Вводные'!$B$62="percent"),(J8*('Вводные'!$B$63/100)),('Вводные'!$B$63*((1+('Вводные'!$B$64/100))^MAX(0,(9-'Вводные'!$B$65))))),0)</f>
        <v>35000</v>
      </c>
      <c r="K26" s="2">
        <f>IF(AND(AND((10&gt;='Вводные'!$B$65),(10&lt;='Вводные'!$B$66)),IF(('Вводные'!$B$62="once"),(10='Вводные'!$B$65),TRUE)),IF(('Вводные'!$B$62="percent"),(K8*('Вводные'!$B$63/100)),('Вводные'!$B$63*((1+('Вводные'!$B$64/100))^MAX(0,(10-'Вводные'!$B$65))))),0)</f>
        <v>35000</v>
      </c>
      <c r="L26" s="2">
        <f>IF(AND(AND((11&gt;='Вводные'!$B$65),(11&lt;='Вводные'!$B$66)),IF(('Вводные'!$B$62="once"),(11='Вводные'!$B$65),TRUE)),IF(('Вводные'!$B$62="percent"),(L8*('Вводные'!$B$63/100)),('Вводные'!$B$63*((1+('Вводные'!$B$64/100))^MAX(0,(11-'Вводные'!$B$65))))),0)</f>
        <v>35000</v>
      </c>
      <c r="M26" s="2">
        <f>IF(AND(AND((12&gt;='Вводные'!$B$65),(12&lt;='Вводные'!$B$66)),IF(('Вводные'!$B$62="once"),(12='Вводные'!$B$65),TRUE)),IF(('Вводные'!$B$62="percent"),(M8*('Вводные'!$B$63/100)),('Вводные'!$B$63*((1+('Вводные'!$B$64/100))^MAX(0,(12-'Вводные'!$B$65))))),0)</f>
        <v>35000</v>
      </c>
      <c r="N26" s="2">
        <f>SUM(B26:M26)</f>
        <v>420000</v>
      </c>
      <c r="O26" s="0" t="inlineStr">
        <is>
          <t xml:space="preserve">Прочие расходы</t>
        </is>
      </c>
    </row>
    <row r="27" ht="25" customHeight="1">
      <c r="A27" s="5" t="inlineStr">
        <is>
          <t xml:space="preserve">Прочие расходы — всего</t>
        </is>
      </c>
      <c r="B27" s="2">
        <f>(B25+B26)</f>
        <v>285000</v>
      </c>
      <c r="C27" s="2">
        <f>(C25+C26)</f>
        <v>285000</v>
      </c>
      <c r="D27" s="2">
        <f>(D25+D26)</f>
        <v>285000</v>
      </c>
      <c r="E27" s="2">
        <f>(E25+E26)</f>
        <v>285000</v>
      </c>
      <c r="F27" s="2">
        <f>(F25+F26)</f>
        <v>285000</v>
      </c>
      <c r="G27" s="2">
        <f>(G25+G26)</f>
        <v>285000</v>
      </c>
      <c r="H27" s="2">
        <f>(H25+H26)</f>
        <v>285000</v>
      </c>
      <c r="I27" s="2">
        <f>(I25+I26)</f>
        <v>285000</v>
      </c>
      <c r="J27" s="2">
        <f>(J25+J26)</f>
        <v>285000</v>
      </c>
      <c r="K27" s="2">
        <f>(K25+K26)</f>
        <v>285000</v>
      </c>
      <c r="L27" s="2">
        <f>(L25+L26)</f>
        <v>285000</v>
      </c>
      <c r="M27" s="2">
        <f>(M25+M26)</f>
        <v>285000</v>
      </c>
      <c r="N27" s="2">
        <f>SUM(B27:M27)</f>
        <v>3420000</v>
      </c>
      <c r="O27" s="0" t="inlineStr">
        <is>
          <t xml:space="preserve">Результат</t>
        </is>
      </c>
    </row>
    <row r="28" ht="55" customHeight="1">
      <c r="A28" s="5" t="inlineStr">
        <is>
          <t xml:space="preserve">Операционные расходы</t>
        </is>
      </c>
      <c r="B28" s="2">
        <f>((B15+B21)+B27)</f>
        <v>750000</v>
      </c>
      <c r="C28" s="2">
        <f>((C15+C21)+C27)</f>
        <v>750000</v>
      </c>
      <c r="D28" s="2">
        <f>((D15+D21)+D27)</f>
        <v>750000</v>
      </c>
      <c r="E28" s="2">
        <f>((E15+E21)+E27)</f>
        <v>750000</v>
      </c>
      <c r="F28" s="2">
        <f>((F15+F21)+F27)</f>
        <v>750000</v>
      </c>
      <c r="G28" s="2">
        <f>((G15+G21)+G27)</f>
        <v>750000</v>
      </c>
      <c r="H28" s="2">
        <f>((H15+H21)+H27)</f>
        <v>750000</v>
      </c>
      <c r="I28" s="2">
        <f>((I15+I21)+I27)</f>
        <v>750000</v>
      </c>
      <c r="J28" s="2">
        <f>((J15+J21)+J27)</f>
        <v>750000</v>
      </c>
      <c r="K28" s="2">
        <f>((K15+K21)+K27)</f>
        <v>750000</v>
      </c>
      <c r="L28" s="2">
        <f>((L15+L21)+L27)</f>
        <v>750000</v>
      </c>
      <c r="M28" s="2">
        <f>((M15+M21)+M27)</f>
        <v>750000</v>
      </c>
      <c r="N28" s="2">
        <f>SUM(B28:M28)</f>
        <v>9000000</v>
      </c>
      <c r="O28" s="0" t="inlineStr">
        <is>
          <t xml:space="preserve">Команда + маркетинг + прочие расходы.</t>
        </is>
      </c>
    </row>
    <row r="29" ht="55" customHeight="1">
      <c r="A29" s="5" t="inlineStr">
        <is>
          <t xml:space="preserve">EBITDA</t>
        </is>
      </c>
      <c r="B29" s="2">
        <f>(B10-B28)</f>
        <v>907500</v>
      </c>
      <c r="C29" s="2">
        <f>(C10-C28)</f>
        <v>973800</v>
      </c>
      <c r="D29" s="2">
        <f>(D10-D28)</f>
        <v>1042752</v>
      </c>
      <c r="E29" s="2">
        <f>(E10-E28)</f>
        <v>1114462.08</v>
      </c>
      <c r="F29" s="2">
        <f>(F10-F28)</f>
        <v>1189040.5632000002</v>
      </c>
      <c r="G29" s="2">
        <f>(G10-G28)</f>
        <v>1266602.185728</v>
      </c>
      <c r="H29" s="2">
        <f>(H10-H28)</f>
        <v>1347266.2731571207</v>
      </c>
      <c r="I29" s="2">
        <f>(I10-I28)</f>
        <v>1431156.9240834052</v>
      </c>
      <c r="J29" s="2">
        <f>(J10-J28)</f>
        <v>1518403.2010467416</v>
      </c>
      <c r="K29" s="2">
        <f>(K10-K28)</f>
        <v>1609139.3290886115</v>
      </c>
      <c r="L29" s="2">
        <f>(L10-L28)</f>
        <v>1703504.9022521563</v>
      </c>
      <c r="M29" s="2">
        <f>(M10-M28)</f>
        <v>1801645.0983422427</v>
      </c>
      <c r="N29" s="2">
        <f>SUM(B29:M29)</f>
        <v>15905272.556898277</v>
      </c>
      <c r="O29" s="0" t="inlineStr">
        <is>
          <t xml:space="preserve">Валовая прибыль − операционные расходы; до амортизации, процентов и налога.</t>
        </is>
      </c>
    </row>
    <row r="30" ht="25" customHeight="1">
      <c r="A30" s="5" t="inlineStr">
        <is>
          <t xml:space="preserve">Покупка активов</t>
        </is>
      </c>
      <c r="B30" s="2">
        <f>0</f>
        <v>0</v>
      </c>
      <c r="C30" s="2">
        <f>0</f>
        <v>0</v>
      </c>
      <c r="D30" s="2">
        <f>0</f>
        <v>0</v>
      </c>
      <c r="E30" s="2">
        <f>0</f>
        <v>0</v>
      </c>
      <c r="F30" s="2">
        <f>0</f>
        <v>0</v>
      </c>
      <c r="G30" s="2">
        <f>0</f>
        <v>0</v>
      </c>
      <c r="H30" s="2">
        <f>0</f>
        <v>0</v>
      </c>
      <c r="I30" s="2">
        <f>0</f>
        <v>0</v>
      </c>
      <c r="J30" s="2">
        <f>0</f>
        <v>0</v>
      </c>
      <c r="K30" s="2">
        <f>0</f>
        <v>0</v>
      </c>
      <c r="L30" s="2">
        <f>0</f>
        <v>0</v>
      </c>
      <c r="M30" s="2">
        <f>0</f>
        <v>0</v>
      </c>
      <c r="N30" s="2">
        <f>SUM(B30:M30)</f>
        <v>0</v>
      </c>
      <c r="O30" s="0" t="inlineStr">
        <is>
          <t xml:space="preserve">Денежный поток</t>
        </is>
      </c>
    </row>
    <row r="31" ht="55" customHeight="1">
      <c r="A31" s="5" t="inlineStr">
        <is>
          <t xml:space="preserve">Амортизация</t>
        </is>
      </c>
      <c r="B31" s="2">
        <f>(IF(AND(('Вводные'!$B$13&gt;0),(1&lt;='Вводные'!$B$13)),('Вводные'!$B$12/MAX(1,'Вводные'!$B$13)),0)+0)</f>
        <v>166666.66666666666</v>
      </c>
      <c r="C31" s="2">
        <f>(IF(AND(('Вводные'!$B$13&gt;0),(2&lt;='Вводные'!$B$13)),('Вводные'!$B$12/MAX(1,'Вводные'!$B$13)),0)+0)</f>
        <v>166666.66666666666</v>
      </c>
      <c r="D31" s="2">
        <f>(IF(AND(('Вводные'!$B$13&gt;0),(3&lt;='Вводные'!$B$13)),('Вводные'!$B$12/MAX(1,'Вводные'!$B$13)),0)+0)</f>
        <v>166666.66666666666</v>
      </c>
      <c r="E31" s="2">
        <f>(IF(AND(('Вводные'!$B$13&gt;0),(4&lt;='Вводные'!$B$13)),('Вводные'!$B$12/MAX(1,'Вводные'!$B$13)),0)+0)</f>
        <v>166666.66666666666</v>
      </c>
      <c r="F31" s="2">
        <f>(IF(AND(('Вводные'!$B$13&gt;0),(5&lt;='Вводные'!$B$13)),('Вводные'!$B$12/MAX(1,'Вводные'!$B$13)),0)+0)</f>
        <v>166666.66666666666</v>
      </c>
      <c r="G31" s="2">
        <f>(IF(AND(('Вводные'!$B$13&gt;0),(6&lt;='Вводные'!$B$13)),('Вводные'!$B$12/MAX(1,'Вводные'!$B$13)),0)+0)</f>
        <v>166666.66666666666</v>
      </c>
      <c r="H31" s="2">
        <f>(IF(AND(('Вводные'!$B$13&gt;0),(7&lt;='Вводные'!$B$13)),('Вводные'!$B$12/MAX(1,'Вводные'!$B$13)),0)+0)</f>
        <v>166666.66666666666</v>
      </c>
      <c r="I31" s="2">
        <f>(IF(AND(('Вводные'!$B$13&gt;0),(8&lt;='Вводные'!$B$13)),('Вводные'!$B$12/MAX(1,'Вводные'!$B$13)),0)+0)</f>
        <v>166666.66666666666</v>
      </c>
      <c r="J31" s="2">
        <f>(IF(AND(('Вводные'!$B$13&gt;0),(9&lt;='Вводные'!$B$13)),('Вводные'!$B$12/MAX(1,'Вводные'!$B$13)),0)+0)</f>
        <v>166666.66666666666</v>
      </c>
      <c r="K31" s="2">
        <f>(IF(AND(('Вводные'!$B$13&gt;0),(10&lt;='Вводные'!$B$13)),('Вводные'!$B$12/MAX(1,'Вводные'!$B$13)),0)+0)</f>
        <v>166666.66666666666</v>
      </c>
      <c r="L31" s="2">
        <f>(IF(AND(('Вводные'!$B$13&gt;0),(11&lt;='Вводные'!$B$13)),('Вводные'!$B$12/MAX(1,'Вводные'!$B$13)),0)+0)</f>
        <v>166666.66666666666</v>
      </c>
      <c r="M31" s="2">
        <f>(IF(AND(('Вводные'!$B$13&gt;0),(12&lt;='Вводные'!$B$13)),('Вводные'!$B$12/MAX(1,'Вводные'!$B$13)),0)+0)</f>
        <v>166666.66666666666</v>
      </c>
      <c r="N31" s="2">
        <f>SUM(B31:M31)</f>
        <v>2000000.0000000002</v>
      </c>
      <c r="O31" s="0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32" ht="25" customHeight="1">
      <c r="A32" s="5" t="inlineStr">
        <is>
          <t xml:space="preserve">Операционная прибыль (EBIT)</t>
        </is>
      </c>
      <c r="B32" s="2">
        <f>(B29-B31)</f>
        <v>740833.3333333334</v>
      </c>
      <c r="C32" s="2">
        <f>(C29-C31)</f>
        <v>807133.3333333334</v>
      </c>
      <c r="D32" s="2">
        <f>(D29-D31)</f>
        <v>876085.3333333334</v>
      </c>
      <c r="E32" s="2">
        <f>(E29-E31)</f>
        <v>947795.4133333334</v>
      </c>
      <c r="F32" s="2">
        <f>(F29-F31)</f>
        <v>1022373.8965333336</v>
      </c>
      <c r="G32" s="2">
        <f>(G29-G31)</f>
        <v>1099935.5190613333</v>
      </c>
      <c r="H32" s="2">
        <f>(H29-H31)</f>
        <v>1180599.606490454</v>
      </c>
      <c r="I32" s="2">
        <f>(I29-I31)</f>
        <v>1264490.2574167384</v>
      </c>
      <c r="J32" s="2">
        <f>(J29-J31)</f>
        <v>1351736.5343800748</v>
      </c>
      <c r="K32" s="2">
        <f>(K29-K31)</f>
        <v>1442472.6624219448</v>
      </c>
      <c r="L32" s="2">
        <f>(L29-L31)</f>
        <v>1536838.2355854895</v>
      </c>
      <c r="M32" s="2">
        <f>(M29-M31)</f>
        <v>1634978.431675576</v>
      </c>
      <c r="N32" s="2">
        <f>SUM(B32:M32)</f>
        <v>13905272.55689828</v>
      </c>
      <c r="O32" s="0" t="inlineStr">
        <is>
          <t xml:space="preserve">Результат</t>
        </is>
      </c>
    </row>
    <row r="33" ht="25" customHeight="1">
      <c r="A33" s="5" t="inlineStr">
        <is>
          <t xml:space="preserve">Кредит на начало месяца</t>
        </is>
      </c>
      <c r="B33" s="2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33" s="2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33" s="2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33" s="2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33" s="2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33" s="2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33" s="2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33" s="2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33" s="2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33" s="2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33" s="2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33" s="2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33" s="2">
        <f>M33</f>
        <v>0</v>
      </c>
      <c r="O33" s="0" t="inlineStr">
        <is>
          <t xml:space="preserve">Кредит</t>
        </is>
      </c>
    </row>
    <row r="34" ht="25" customHeight="1">
      <c r="A34" s="5" t="inlineStr">
        <is>
          <t xml:space="preserve">Проценты по кредиту</t>
        </is>
      </c>
      <c r="B34" s="2">
        <f>(B33*(('Вводные'!$B$15/100)/12))</f>
        <v>0</v>
      </c>
      <c r="C34" s="2">
        <f>(C33*(('Вводные'!$B$15/100)/12))</f>
        <v>0</v>
      </c>
      <c r="D34" s="2">
        <f>(D33*(('Вводные'!$B$15/100)/12))</f>
        <v>0</v>
      </c>
      <c r="E34" s="2">
        <f>(E33*(('Вводные'!$B$15/100)/12))</f>
        <v>0</v>
      </c>
      <c r="F34" s="2">
        <f>(F33*(('Вводные'!$B$15/100)/12))</f>
        <v>0</v>
      </c>
      <c r="G34" s="2">
        <f>(G33*(('Вводные'!$B$15/100)/12))</f>
        <v>0</v>
      </c>
      <c r="H34" s="2">
        <f>(H33*(('Вводные'!$B$15/100)/12))</f>
        <v>0</v>
      </c>
      <c r="I34" s="2">
        <f>(I33*(('Вводные'!$B$15/100)/12))</f>
        <v>0</v>
      </c>
      <c r="J34" s="2">
        <f>(J33*(('Вводные'!$B$15/100)/12))</f>
        <v>0</v>
      </c>
      <c r="K34" s="2">
        <f>(K33*(('Вводные'!$B$15/100)/12))</f>
        <v>0</v>
      </c>
      <c r="L34" s="2">
        <f>(L33*(('Вводные'!$B$15/100)/12))</f>
        <v>0</v>
      </c>
      <c r="M34" s="2">
        <f>(M33*(('Вводные'!$B$15/100)/12))</f>
        <v>0</v>
      </c>
      <c r="N34" s="2">
        <f>SUM(B34:M34)</f>
        <v>0</v>
      </c>
      <c r="O34" s="0" t="inlineStr">
        <is>
          <t xml:space="preserve">Результат</t>
        </is>
      </c>
    </row>
    <row r="35" ht="55" customHeight="1">
      <c r="A35" s="5" t="inlineStr">
        <is>
          <t xml:space="preserve">Погашение тела кредита</t>
        </is>
      </c>
      <c r="B35" s="2">
        <f>IF((1&lt;='Вводные'!$B$16),MIN(B33,MAX(0,(IF(((('Вводные'!$B$15/100)/12)&gt;0),(('Вводные'!$B$14*(('Вводные'!$B$15/100)/12))/(1-((1+(('Вводные'!$B$15/100)/12))^(-1*'Вводные'!$B$16)))),('Вводные'!$B$14/'Вводные'!$B$16))-B34))),0)</f>
        <v>0</v>
      </c>
      <c r="C35" s="2">
        <f>IF((2&lt;='Вводные'!$B$16),MIN(C33,MAX(0,(IF(((('Вводные'!$B$15/100)/12)&gt;0),(('Вводные'!$B$14*(('Вводные'!$B$15/100)/12))/(1-((1+(('Вводные'!$B$15/100)/12))^(-1*'Вводные'!$B$16)))),('Вводные'!$B$14/'Вводные'!$B$16))-C34))),0)</f>
        <v>0</v>
      </c>
      <c r="D35" s="2">
        <f>IF((3&lt;='Вводные'!$B$16),MIN(D33,MAX(0,(IF(((('Вводные'!$B$15/100)/12)&gt;0),(('Вводные'!$B$14*(('Вводные'!$B$15/100)/12))/(1-((1+(('Вводные'!$B$15/100)/12))^(-1*'Вводные'!$B$16)))),('Вводные'!$B$14/'Вводные'!$B$16))-D34))),0)</f>
        <v>0</v>
      </c>
      <c r="E35" s="2">
        <f>IF((4&lt;='Вводные'!$B$16),MIN(E33,MAX(0,(IF(((('Вводные'!$B$15/100)/12)&gt;0),(('Вводные'!$B$14*(('Вводные'!$B$15/100)/12))/(1-((1+(('Вводные'!$B$15/100)/12))^(-1*'Вводные'!$B$16)))),('Вводные'!$B$14/'Вводные'!$B$16))-E34))),0)</f>
        <v>0</v>
      </c>
      <c r="F35" s="2">
        <f>IF((5&lt;='Вводные'!$B$16),MIN(F33,MAX(0,(IF(((('Вводные'!$B$15/100)/12)&gt;0),(('Вводные'!$B$14*(('Вводные'!$B$15/100)/12))/(1-((1+(('Вводные'!$B$15/100)/12))^(-1*'Вводные'!$B$16)))),('Вводные'!$B$14/'Вводные'!$B$16))-F34))),0)</f>
        <v>0</v>
      </c>
      <c r="G35" s="2">
        <f>IF((6&lt;='Вводные'!$B$16),MIN(G33,MAX(0,(IF(((('Вводные'!$B$15/100)/12)&gt;0),(('Вводные'!$B$14*(('Вводные'!$B$15/100)/12))/(1-((1+(('Вводные'!$B$15/100)/12))^(-1*'Вводные'!$B$16)))),('Вводные'!$B$14/'Вводные'!$B$16))-G34))),0)</f>
        <v>0</v>
      </c>
      <c r="H35" s="2">
        <f>IF((7&lt;='Вводные'!$B$16),MIN(H33,MAX(0,(IF(((('Вводные'!$B$15/100)/12)&gt;0),(('Вводные'!$B$14*(('Вводные'!$B$15/100)/12))/(1-((1+(('Вводные'!$B$15/100)/12))^(-1*'Вводные'!$B$16)))),('Вводные'!$B$14/'Вводные'!$B$16))-H34))),0)</f>
        <v>0</v>
      </c>
      <c r="I35" s="2">
        <f>IF((8&lt;='Вводные'!$B$16),MIN(I33,MAX(0,(IF(((('Вводные'!$B$15/100)/12)&gt;0),(('Вводные'!$B$14*(('Вводные'!$B$15/100)/12))/(1-((1+(('Вводные'!$B$15/100)/12))^(-1*'Вводные'!$B$16)))),('Вводные'!$B$14/'Вводные'!$B$16))-I34))),0)</f>
        <v>0</v>
      </c>
      <c r="J35" s="2">
        <f>IF((9&lt;='Вводные'!$B$16),MIN(J33,MAX(0,(IF(((('Вводные'!$B$15/100)/12)&gt;0),(('Вводные'!$B$14*(('Вводные'!$B$15/100)/12))/(1-((1+(('Вводные'!$B$15/100)/12))^(-1*'Вводные'!$B$16)))),('Вводные'!$B$14/'Вводные'!$B$16))-J34))),0)</f>
        <v>0</v>
      </c>
      <c r="K35" s="2">
        <f>IF((10&lt;='Вводные'!$B$16),MIN(K33,MAX(0,(IF(((('Вводные'!$B$15/100)/12)&gt;0),(('Вводные'!$B$14*(('Вводные'!$B$15/100)/12))/(1-((1+(('Вводные'!$B$15/100)/12))^(-1*'Вводные'!$B$16)))),('Вводные'!$B$14/'Вводные'!$B$16))-K34))),0)</f>
        <v>0</v>
      </c>
      <c r="L35" s="2">
        <f>IF((11&lt;='Вводные'!$B$16),MIN(L33,MAX(0,(IF(((('Вводные'!$B$15/100)/12)&gt;0),(('Вводные'!$B$14*(('Вводные'!$B$15/100)/12))/(1-((1+(('Вводные'!$B$15/100)/12))^(-1*'Вводные'!$B$16)))),('Вводные'!$B$14/'Вводные'!$B$16))-L34))),0)</f>
        <v>0</v>
      </c>
      <c r="M35" s="2">
        <f>IF((12&lt;='Вводные'!$B$16),MIN(M33,MAX(0,(IF(((('Вводные'!$B$15/100)/12)&gt;0),(('Вводные'!$B$14*(('Вводные'!$B$15/100)/12))/(1-((1+(('Вводные'!$B$15/100)/12))^(-1*'Вводные'!$B$16)))),('Вводные'!$B$14/'Вводные'!$B$16))-M34))),0)</f>
        <v>0</v>
      </c>
      <c r="N35" s="2">
        <f>SUM(B35:M35)</f>
        <v>0</v>
      </c>
      <c r="O35" s="0" t="inlineStr">
        <is>
          <t xml:space="preserve">Аннуитетный платёж − проценты. Тело кредита уменьшает деньги, но не прибыль.</t>
        </is>
      </c>
    </row>
    <row r="36" ht="25" customHeight="1">
      <c r="A36" s="5" t="inlineStr">
        <is>
          <t xml:space="preserve">Кредит на конец месяца</t>
        </is>
      </c>
      <c r="B36" s="2">
        <f>MAX(0,(B33-B35))</f>
        <v>0</v>
      </c>
      <c r="C36" s="2">
        <f>MAX(0,(C33-C35))</f>
        <v>0</v>
      </c>
      <c r="D36" s="2">
        <f>MAX(0,(D33-D35))</f>
        <v>0</v>
      </c>
      <c r="E36" s="2">
        <f>MAX(0,(E33-E35))</f>
        <v>0</v>
      </c>
      <c r="F36" s="2">
        <f>MAX(0,(F33-F35))</f>
        <v>0</v>
      </c>
      <c r="G36" s="2">
        <f>MAX(0,(G33-G35))</f>
        <v>0</v>
      </c>
      <c r="H36" s="2">
        <f>MAX(0,(H33-H35))</f>
        <v>0</v>
      </c>
      <c r="I36" s="2">
        <f>MAX(0,(I33-I35))</f>
        <v>0</v>
      </c>
      <c r="J36" s="2">
        <f>MAX(0,(J33-J35))</f>
        <v>0</v>
      </c>
      <c r="K36" s="2">
        <f>MAX(0,(K33-K35))</f>
        <v>0</v>
      </c>
      <c r="L36" s="2">
        <f>MAX(0,(L33-L35))</f>
        <v>0</v>
      </c>
      <c r="M36" s="2">
        <f>MAX(0,(M33-M35))</f>
        <v>0</v>
      </c>
      <c r="N36" s="2">
        <f>M36</f>
        <v>0</v>
      </c>
      <c r="O36" s="0" t="inlineStr">
        <is>
          <t xml:space="preserve">Кредит</t>
        </is>
      </c>
    </row>
    <row r="37" ht="25" customHeight="1">
      <c r="A37" s="5" t="inlineStr">
        <is>
          <t xml:space="preserve">Прибыль до налога</t>
        </is>
      </c>
      <c r="B37" s="2">
        <f>(B32-B34)</f>
        <v>740833.3333333334</v>
      </c>
      <c r="C37" s="2">
        <f>(C32-C34)</f>
        <v>807133.3333333334</v>
      </c>
      <c r="D37" s="2">
        <f>(D32-D34)</f>
        <v>876085.3333333334</v>
      </c>
      <c r="E37" s="2">
        <f>(E32-E34)</f>
        <v>947795.4133333334</v>
      </c>
      <c r="F37" s="2">
        <f>(F32-F34)</f>
        <v>1022373.8965333336</v>
      </c>
      <c r="G37" s="2">
        <f>(G32-G34)</f>
        <v>1099935.5190613333</v>
      </c>
      <c r="H37" s="2">
        <f>(H32-H34)</f>
        <v>1180599.606490454</v>
      </c>
      <c r="I37" s="2">
        <f>(I32-I34)</f>
        <v>1264490.2574167384</v>
      </c>
      <c r="J37" s="2">
        <f>(J32-J34)</f>
        <v>1351736.5343800748</v>
      </c>
      <c r="K37" s="2">
        <f>(K32-K34)</f>
        <v>1442472.6624219448</v>
      </c>
      <c r="L37" s="2">
        <f>(L32-L34)</f>
        <v>1536838.2355854895</v>
      </c>
      <c r="M37" s="2">
        <f>(M32-M34)</f>
        <v>1634978.431675576</v>
      </c>
      <c r="N37" s="2">
        <f>SUM(B37:M37)</f>
        <v>13905272.55689828</v>
      </c>
      <c r="O37" s="0" t="inlineStr">
        <is>
          <t xml:space="preserve">Результат</t>
        </is>
      </c>
    </row>
    <row r="38" ht="55" customHeight="1">
      <c r="A38" s="5" t="inlineStr">
        <is>
          <t xml:space="preserve">Условный налог</t>
        </is>
      </c>
      <c r="B38" s="2">
        <f>IF(('Вводные'!$B$6="none"),0,(IF(('Вводные'!$B$6="revenue"),B8,MAX(0,B37))*('Вводные'!$B$7/100)))</f>
        <v>74083.33333333334</v>
      </c>
      <c r="C38" s="2">
        <f>IF(('Вводные'!$B$6="none"),0,(IF(('Вводные'!$B$6="revenue"),C8,MAX(0,C37))*('Вводные'!$B$7/100)))</f>
        <v>80713.33333333334</v>
      </c>
      <c r="D38" s="2">
        <f>IF(('Вводные'!$B$6="none"),0,(IF(('Вводные'!$B$6="revenue"),D8,MAX(0,D37))*('Вводные'!$B$7/100)))</f>
        <v>87608.53333333334</v>
      </c>
      <c r="E38" s="2">
        <f>IF(('Вводные'!$B$6="none"),0,(IF(('Вводные'!$B$6="revenue"),E8,MAX(0,E37))*('Вводные'!$B$7/100)))</f>
        <v>94779.54133333336</v>
      </c>
      <c r="F38" s="2">
        <f>IF(('Вводные'!$B$6="none"),0,(IF(('Вводные'!$B$6="revenue"),F8,MAX(0,F37))*('Вводные'!$B$7/100)))</f>
        <v>102237.38965333336</v>
      </c>
      <c r="G38" s="2">
        <f>IF(('Вводные'!$B$6="none"),0,(IF(('Вводные'!$B$6="revenue"),G8,MAX(0,G37))*('Вводные'!$B$7/100)))</f>
        <v>109993.55190613333</v>
      </c>
      <c r="H38" s="2">
        <f>IF(('Вводные'!$B$6="none"),0,(IF(('Вводные'!$B$6="revenue"),H8,MAX(0,H37))*('Вводные'!$B$7/100)))</f>
        <v>118059.9606490454</v>
      </c>
      <c r="I38" s="2">
        <f>IF(('Вводные'!$B$6="none"),0,(IF(('Вводные'!$B$6="revenue"),I8,MAX(0,I37))*('Вводные'!$B$7/100)))</f>
        <v>126449.02574167385</v>
      </c>
      <c r="J38" s="2">
        <f>IF(('Вводные'!$B$6="none"),0,(IF(('Вводные'!$B$6="revenue"),J8,MAX(0,J37))*('Вводные'!$B$7/100)))</f>
        <v>135173.6534380075</v>
      </c>
      <c r="K38" s="2">
        <f>IF(('Вводные'!$B$6="none"),0,(IF(('Вводные'!$B$6="revenue"),K8,MAX(0,K37))*('Вводные'!$B$7/100)))</f>
        <v>144247.26624219448</v>
      </c>
      <c r="L38" s="2">
        <f>IF(('Вводные'!$B$6="none"),0,(IF(('Вводные'!$B$6="revenue"),L8,MAX(0,L37))*('Вводные'!$B$7/100)))</f>
        <v>153683.82355854896</v>
      </c>
      <c r="M38" s="2">
        <f>IF(('Вводные'!$B$6="none"),0,(IF(('Вводные'!$B$6="revenue"),M8,MAX(0,M37))*('Вводные'!$B$7/100)))</f>
        <v>163497.8431675576</v>
      </c>
      <c r="N38" s="2">
        <f>SUM(B38:M38)</f>
        <v>1390527.255689828</v>
      </c>
      <c r="O38" s="0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39" ht="55" customHeight="1">
      <c r="A39" s="5" t="inlineStr">
        <is>
          <t xml:space="preserve">Чистая прибыль</t>
        </is>
      </c>
      <c r="B39" s="2">
        <f>(B37-B38)</f>
        <v>666750</v>
      </c>
      <c r="C39" s="2">
        <f>(C37-C38)</f>
        <v>726420</v>
      </c>
      <c r="D39" s="2">
        <f>(D37-D38)</f>
        <v>788476.8</v>
      </c>
      <c r="E39" s="2">
        <f>(E37-E38)</f>
        <v>853015.8720000001</v>
      </c>
      <c r="F39" s="2">
        <f>(F37-F38)</f>
        <v>920136.5068800002</v>
      </c>
      <c r="G39" s="2">
        <f>(G37-G38)</f>
        <v>989941.9671552</v>
      </c>
      <c r="H39" s="2">
        <f>(H37-H38)</f>
        <v>1062539.6458414085</v>
      </c>
      <c r="I39" s="2">
        <f>(I37-I38)</f>
        <v>1138041.2316750647</v>
      </c>
      <c r="J39" s="2">
        <f>(J37-J38)</f>
        <v>1216562.8809420674</v>
      </c>
      <c r="K39" s="2">
        <f>(K37-K38)</f>
        <v>1298225.3961797503</v>
      </c>
      <c r="L39" s="2">
        <f>(L37-L38)</f>
        <v>1383154.4120269406</v>
      </c>
      <c r="M39" s="2">
        <f>(M37-M38)</f>
        <v>1471480.5885080183</v>
      </c>
      <c r="N39" s="2">
        <f>SUM(B39:M39)</f>
        <v>12514745.301208448</v>
      </c>
      <c r="O39" s="0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40" ht="25" customHeight="1">
      <c r="A40" s="5" t="inlineStr">
        <is>
          <t xml:space="preserve">Все расходы в прибыли</t>
        </is>
      </c>
      <c r="B40" s="2">
        <f>(B8-B39)</f>
        <v>1883250</v>
      </c>
      <c r="C40" s="2">
        <f>(C8-C39)</f>
        <v>1925580</v>
      </c>
      <c r="D40" s="2">
        <f>(D8-D39)</f>
        <v>1969603.2</v>
      </c>
      <c r="E40" s="2">
        <f>(E8-E39)</f>
        <v>2015387.3280000002</v>
      </c>
      <c r="F40" s="2">
        <f>(F8-F39)</f>
        <v>2063002.82112</v>
      </c>
      <c r="G40" s="2">
        <f>(G8-G39)</f>
        <v>2112522.9339648</v>
      </c>
      <c r="H40" s="2">
        <f>(H8-H39)</f>
        <v>2164023.8513233922</v>
      </c>
      <c r="I40" s="2">
        <f>(I8-I39)</f>
        <v>2217584.805376328</v>
      </c>
      <c r="J40" s="2">
        <f>(J8-J39)</f>
        <v>2273288.197591381</v>
      </c>
      <c r="K40" s="2">
        <f>(K8-K39)</f>
        <v>2331219.7254950358</v>
      </c>
      <c r="L40" s="2">
        <f>(L8-L39)</f>
        <v>2391468.5145148374</v>
      </c>
      <c r="M40" s="2">
        <f>(M8-M39)</f>
        <v>2454127.2550954316</v>
      </c>
      <c r="N40" s="2">
        <f>SUM(B40:M40)</f>
        <v>25801058.63248121</v>
      </c>
      <c r="O40" s="0" t="inlineStr">
        <is>
          <t xml:space="preserve">Результат</t>
        </is>
      </c>
    </row>
    <row r="41" ht="25" customHeight="1">
      <c r="A41" s="5" t="inlineStr">
        <is>
          <t xml:space="preserve">Оплата от клиентов</t>
        </is>
      </c>
      <c r="B41" s="2">
        <f>IF(1-'Вводные'!$B$8&gt;0,INDEX($B$8:$M$8,1,MAX(1,1-'Вводные'!$B$8)),0)</f>
        <v>2550000</v>
      </c>
      <c r="C41" s="2">
        <f>IF(2-'Вводные'!$B$8&gt;0,INDEX($B$8:$M$8,1,MAX(1,2-'Вводные'!$B$8)),0)</f>
        <v>2652000</v>
      </c>
      <c r="D41" s="2">
        <f>IF(3-'Вводные'!$B$8&gt;0,INDEX($B$8:$M$8,1,MAX(1,3-'Вводные'!$B$8)),0)</f>
        <v>2758080</v>
      </c>
      <c r="E41" s="2">
        <f>IF(4-'Вводные'!$B$8&gt;0,INDEX($B$8:$M$8,1,MAX(1,4-'Вводные'!$B$8)),0)</f>
        <v>2868403.2</v>
      </c>
      <c r="F41" s="2">
        <f>IF(5-'Вводные'!$B$8&gt;0,INDEX($B$8:$M$8,1,MAX(1,5-'Вводные'!$B$8)),0)</f>
        <v>2983139.328</v>
      </c>
      <c r="G41" s="2">
        <f>IF(6-'Вводные'!$B$8&gt;0,INDEX($B$8:$M$8,1,MAX(1,6-'Вводные'!$B$8)),0)</f>
        <v>3102464.90112</v>
      </c>
      <c r="H41" s="2">
        <f>IF(7-'Вводные'!$B$8&gt;0,INDEX($B$8:$M$8,1,MAX(1,7-'Вводные'!$B$8)),0)</f>
        <v>3226563.4971648008</v>
      </c>
      <c r="I41" s="2">
        <f>IF(8-'Вводные'!$B$8&gt;0,INDEX($B$8:$M$8,1,MAX(1,8-'Вводные'!$B$8)),0)</f>
        <v>3355626.0370513927</v>
      </c>
      <c r="J41" s="2">
        <f>IF(9-'Вводные'!$B$8&gt;0,INDEX($B$8:$M$8,1,MAX(1,9-'Вводные'!$B$8)),0)</f>
        <v>3489851.0785334483</v>
      </c>
      <c r="K41" s="2">
        <f>IF(10-'Вводные'!$B$8&gt;0,INDEX($B$8:$M$8,1,MAX(1,10-'Вводные'!$B$8)),0)</f>
        <v>3629445.1216747863</v>
      </c>
      <c r="L41" s="2">
        <f>IF(11-'Вводные'!$B$8&gt;0,INDEX($B$8:$M$8,1,MAX(1,11-'Вводные'!$B$8)),0)</f>
        <v>3774622.9265417783</v>
      </c>
      <c r="M41" s="2">
        <f>IF(12-'Вводные'!$B$8&gt;0,INDEX($B$8:$M$8,1,MAX(1,12-'Вводные'!$B$8)),0)</f>
        <v>3925607.84360345</v>
      </c>
      <c r="N41" s="2">
        <f>SUM(B41:M41)</f>
        <v>38315803.933689654</v>
      </c>
      <c r="O41" s="0" t="inlineStr">
        <is>
          <t xml:space="preserve">Денежный поток</t>
        </is>
      </c>
    </row>
    <row r="42" ht="25" customHeight="1">
      <c r="A42" s="5" t="inlineStr">
        <is>
          <t xml:space="preserve">Оплата себестоимости</t>
        </is>
      </c>
      <c r="B42" s="2">
        <f>IF(1-'Вводные'!$B$9&gt;0,INDEX($B$9:$M$9,1,MAX(1,1-'Вводные'!$B$9)),0)</f>
        <v>892500</v>
      </c>
      <c r="C42" s="2">
        <f>IF(2-'Вводные'!$B$9&gt;0,INDEX($B$9:$M$9,1,MAX(1,2-'Вводные'!$B$9)),0)</f>
        <v>928199.9999999999</v>
      </c>
      <c r="D42" s="2">
        <f>IF(3-'Вводные'!$B$9&gt;0,INDEX($B$9:$M$9,1,MAX(1,3-'Вводные'!$B$9)),0)</f>
        <v>965327.9999999999</v>
      </c>
      <c r="E42" s="2">
        <f>IF(4-'Вводные'!$B$9&gt;0,INDEX($B$9:$M$9,1,MAX(1,4-'Вводные'!$B$9)),0)</f>
        <v>1003941.12</v>
      </c>
      <c r="F42" s="2">
        <f>IF(5-'Вводные'!$B$9&gt;0,INDEX($B$9:$M$9,1,MAX(1,5-'Вводные'!$B$9)),0)</f>
        <v>1044098.7648</v>
      </c>
      <c r="G42" s="2">
        <f>IF(6-'Вводные'!$B$9&gt;0,INDEX($B$9:$M$9,1,MAX(1,6-'Вводные'!$B$9)),0)</f>
        <v>1085862.715392</v>
      </c>
      <c r="H42" s="2">
        <f>IF(7-'Вводные'!$B$9&gt;0,INDEX($B$9:$M$9,1,MAX(1,7-'Вводные'!$B$9)),0)</f>
        <v>1129297.22400768</v>
      </c>
      <c r="I42" s="2">
        <f>IF(8-'Вводные'!$B$9&gt;0,INDEX($B$9:$M$9,1,MAX(1,8-'Вводные'!$B$9)),0)</f>
        <v>1174469.1129679873</v>
      </c>
      <c r="J42" s="2">
        <f>IF(9-'Вводные'!$B$9&gt;0,INDEX($B$9:$M$9,1,MAX(1,9-'Вводные'!$B$9)),0)</f>
        <v>1221447.8774867067</v>
      </c>
      <c r="K42" s="2">
        <f>IF(10-'Вводные'!$B$9&gt;0,INDEX($B$9:$M$9,1,MAX(1,10-'Вводные'!$B$9)),0)</f>
        <v>1270305.792586175</v>
      </c>
      <c r="L42" s="2">
        <f>IF(11-'Вводные'!$B$9&gt;0,INDEX($B$9:$M$9,1,MAX(1,11-'Вводные'!$B$9)),0)</f>
        <v>1321118.0242896222</v>
      </c>
      <c r="M42" s="2">
        <f>IF(12-'Вводные'!$B$9&gt;0,INDEX($B$9:$M$9,1,MAX(1,12-'Вводные'!$B$9)),0)</f>
        <v>1373962.7452612075</v>
      </c>
      <c r="N42" s="2">
        <f>SUM(B42:M42)</f>
        <v>13410531.37679138</v>
      </c>
      <c r="O42" s="0" t="inlineStr">
        <is>
          <t xml:space="preserve">Денежный поток</t>
        </is>
      </c>
    </row>
    <row r="43" ht="25" customHeight="1">
      <c r="A43" s="5" t="inlineStr">
        <is>
          <t xml:space="preserve">Дебиторская задолженность</t>
        </is>
      </c>
      <c r="B43" s="2">
        <f>(0+(B8-B41))</f>
        <v>0</v>
      </c>
      <c r="C43" s="2">
        <f>(B43+(C8-C41))</f>
        <v>0</v>
      </c>
      <c r="D43" s="2">
        <f>(C43+(D8-D41))</f>
        <v>0</v>
      </c>
      <c r="E43" s="2">
        <f>(D43+(E8-E41))</f>
        <v>0</v>
      </c>
      <c r="F43" s="2">
        <f>(E43+(F8-F41))</f>
        <v>0</v>
      </c>
      <c r="G43" s="2">
        <f>(F43+(G8-G41))</f>
        <v>0</v>
      </c>
      <c r="H43" s="2">
        <f>(G43+(H8-H41))</f>
        <v>0</v>
      </c>
      <c r="I43" s="2">
        <f>(H43+(I8-I41))</f>
        <v>0</v>
      </c>
      <c r="J43" s="2">
        <f>(I43+(J8-J41))</f>
        <v>0</v>
      </c>
      <c r="K43" s="2">
        <f>(J43+(K8-K41))</f>
        <v>0</v>
      </c>
      <c r="L43" s="2">
        <f>(K43+(L8-L41))</f>
        <v>0</v>
      </c>
      <c r="M43" s="2">
        <f>(L43+(M8-M41))</f>
        <v>0</v>
      </c>
      <c r="N43" s="2">
        <f>M43</f>
        <v>0</v>
      </c>
      <c r="O43" s="0" t="inlineStr">
        <is>
          <t xml:space="preserve">Оборотный капитал</t>
        </is>
      </c>
    </row>
    <row r="44" ht="25" customHeight="1">
      <c r="A44" s="5" t="inlineStr">
        <is>
          <t xml:space="preserve">Кредиторская задолженность</t>
        </is>
      </c>
      <c r="B44" s="2">
        <f>(0+(B9-B42))</f>
        <v>0</v>
      </c>
      <c r="C44" s="2">
        <f>(B44+(C9-C42))</f>
        <v>0</v>
      </c>
      <c r="D44" s="2">
        <f>(C44+(D9-D42))</f>
        <v>0</v>
      </c>
      <c r="E44" s="2">
        <f>(D44+(E9-E42))</f>
        <v>0</v>
      </c>
      <c r="F44" s="2">
        <f>(E44+(F9-F42))</f>
        <v>0</v>
      </c>
      <c r="G44" s="2">
        <f>(F44+(G9-G42))</f>
        <v>0</v>
      </c>
      <c r="H44" s="2">
        <f>(G44+(H9-H42))</f>
        <v>0</v>
      </c>
      <c r="I44" s="2">
        <f>(H44+(I9-I42))</f>
        <v>0</v>
      </c>
      <c r="J44" s="2">
        <f>(I44+(J9-J42))</f>
        <v>0</v>
      </c>
      <c r="K44" s="2">
        <f>(J44+(K9-K42))</f>
        <v>0</v>
      </c>
      <c r="L44" s="2">
        <f>(K44+(L9-L42))</f>
        <v>0</v>
      </c>
      <c r="M44" s="2">
        <f>(L44+(M9-M42))</f>
        <v>0</v>
      </c>
      <c r="N44" s="2">
        <f>M44</f>
        <v>0</v>
      </c>
      <c r="O44" s="0" t="inlineStr">
        <is>
          <t xml:space="preserve">Оборотный капитал</t>
        </is>
      </c>
    </row>
    <row r="45" ht="55" customHeight="1">
      <c r="A45" s="5" t="inlineStr">
        <is>
          <t xml:space="preserve">Операционный денежный поток</t>
        </is>
      </c>
      <c r="B45" s="2">
        <f>((B41-B42)-((B28+B34)+B38))</f>
        <v>833416.6666666666</v>
      </c>
      <c r="C45" s="2">
        <f>((C41-C42)-((C28+C34)+C38))</f>
        <v>893086.6666666666</v>
      </c>
      <c r="D45" s="2">
        <f>((D41-D42)-((D28+D34)+D38))</f>
        <v>955143.4666666667</v>
      </c>
      <c r="E45" s="2">
        <f>((E41-E42)-((E28+E34)+E38))</f>
        <v>1019682.5386666667</v>
      </c>
      <c r="F45" s="2">
        <f>((F41-F42)-((F28+F34)+F38))</f>
        <v>1086803.1735466667</v>
      </c>
      <c r="G45" s="2">
        <f>((G41-G42)-((G28+G34)+G38))</f>
        <v>1156608.6338218667</v>
      </c>
      <c r="H45" s="2">
        <f>((H41-H42)-((H28+H34)+H38))</f>
        <v>1229206.3125080753</v>
      </c>
      <c r="I45" s="2">
        <f>((I41-I42)-((I28+I34)+I38))</f>
        <v>1304707.8983417312</v>
      </c>
      <c r="J45" s="2">
        <f>((J41-J42)-((J28+J34)+J38))</f>
        <v>1383229.547608734</v>
      </c>
      <c r="K45" s="2">
        <f>((K41-K42)-((K28+K34)+K38))</f>
        <v>1464892.062846417</v>
      </c>
      <c r="L45" s="2">
        <f>((L41-L42)-((L28+L34)+L38))</f>
        <v>1549821.0786936074</v>
      </c>
      <c r="M45" s="2">
        <f>((M41-M42)-((M28+M34)+M38))</f>
        <v>1638147.255174685</v>
      </c>
      <c r="N45" s="2">
        <f>SUM(B45:M45)</f>
        <v>14514745.301208448</v>
      </c>
      <c r="O45" s="0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6" ht="55" customHeight="1">
      <c r="A46" s="5" t="inlineStr">
        <is>
          <t xml:space="preserve">Изменение денег за месяц</t>
        </is>
      </c>
      <c r="B46" s="2">
        <f>((B45-B30)-B35)</f>
        <v>833416.6666666666</v>
      </c>
      <c r="C46" s="2">
        <f>((C45-C30)-C35)</f>
        <v>893086.6666666666</v>
      </c>
      <c r="D46" s="2">
        <f>((D45-D30)-D35)</f>
        <v>955143.4666666667</v>
      </c>
      <c r="E46" s="2">
        <f>((E45-E30)-E35)</f>
        <v>1019682.5386666667</v>
      </c>
      <c r="F46" s="2">
        <f>((F45-F30)-F35)</f>
        <v>1086803.1735466667</v>
      </c>
      <c r="G46" s="2">
        <f>((G45-G30)-G35)</f>
        <v>1156608.6338218667</v>
      </c>
      <c r="H46" s="2">
        <f>((H45-H30)-H35)</f>
        <v>1229206.3125080753</v>
      </c>
      <c r="I46" s="2">
        <f>((I45-I30)-I35)</f>
        <v>1304707.8983417312</v>
      </c>
      <c r="J46" s="2">
        <f>((J45-J30)-J35)</f>
        <v>1383229.547608734</v>
      </c>
      <c r="K46" s="2">
        <f>((K45-K30)-K35)</f>
        <v>1464892.062846417</v>
      </c>
      <c r="L46" s="2">
        <f>((L45-L30)-L35)</f>
        <v>1549821.0786936074</v>
      </c>
      <c r="M46" s="2">
        <f>((M45-M30)-M35)</f>
        <v>1638147.255174685</v>
      </c>
      <c r="N46" s="2">
        <f>SUM(B46:M46)</f>
        <v>14514745.301208448</v>
      </c>
      <c r="O46" s="0" t="inlineStr">
        <is>
          <t xml:space="preserve">Операционный поток − покупка активов − тело кредита.</t>
        </is>
      </c>
    </row>
    <row r="47" ht="55" customHeight="1">
      <c r="A47" s="5" t="inlineStr">
        <is>
          <t xml:space="preserve">Деньги на конец месяца</t>
        </is>
      </c>
      <c r="B47" s="2">
        <f>(((('Вводные'!$B$10+'Вводные'!$B$11)+'Вводные'!$B$14)-'Вводные'!$B$12)+B46)</f>
        <v>-2166583.3333333335</v>
      </c>
      <c r="C47" s="2">
        <f>(B47+C46)</f>
        <v>-1273496.666666667</v>
      </c>
      <c r="D47" s="2">
        <f>(C47+D46)</f>
        <v>-318353.2000000003</v>
      </c>
      <c r="E47" s="2">
        <f>(D47+E46)</f>
        <v>701329.3386666664</v>
      </c>
      <c r="F47" s="2">
        <f>(E47+F46)</f>
        <v>1788132.512213333</v>
      </c>
      <c r="G47" s="2">
        <f>(F47+G46)</f>
        <v>2944741.1460352</v>
      </c>
      <c r="H47" s="2">
        <f>(G47+H46)</f>
        <v>4173947.4585432755</v>
      </c>
      <c r="I47" s="2">
        <f>(H47+I46)</f>
        <v>5478655.356885007</v>
      </c>
      <c r="J47" s="2">
        <f>(I47+J46)</f>
        <v>6861884.904493741</v>
      </c>
      <c r="K47" s="2">
        <f>(J47+K46)</f>
        <v>8326776.967340158</v>
      </c>
      <c r="L47" s="2">
        <f>(K47+L46)</f>
        <v>9876598.046033766</v>
      </c>
      <c r="M47" s="2">
        <f>(L47+M46)</f>
        <v>11514745.301208451</v>
      </c>
      <c r="N47" s="2">
        <f>M47</f>
        <v>11514745.301208451</v>
      </c>
      <c r="O47" s="0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48" ht="55" customHeight="1">
      <c r="A48" s="5" t="inlineStr">
        <is>
          <t xml:space="preserve">Покрытие вложений, накопленно</t>
        </is>
      </c>
      <c r="B48" s="2">
        <f>((-1*'Вводные'!$B$12)+(B45-B30))</f>
        <v>-5166583.333333333</v>
      </c>
      <c r="C48" s="2">
        <f>(B48+(C45-C30))</f>
        <v>-4273496.666666666</v>
      </c>
      <c r="D48" s="2">
        <f>(C48+(D45-D30))</f>
        <v>-3318353.1999999993</v>
      </c>
      <c r="E48" s="2">
        <f>(D48+(E45-E30))</f>
        <v>-2298670.661333333</v>
      </c>
      <c r="F48" s="2">
        <f>(E48+(F45-F30))</f>
        <v>-1211867.487786666</v>
      </c>
      <c r="G48" s="2">
        <f>(F48+(G45-G30))</f>
        <v>-55258.85396479932</v>
      </c>
      <c r="H48" s="2">
        <f>(G48+(H45-H30))</f>
        <v>1173947.458543276</v>
      </c>
      <c r="I48" s="2">
        <f>(H48+(I45-I30))</f>
        <v>2478655.356885007</v>
      </c>
      <c r="J48" s="2">
        <f>(I48+(J45-J30))</f>
        <v>3861884.904493741</v>
      </c>
      <c r="K48" s="2">
        <f>(J48+(K45-K30))</f>
        <v>5326776.967340158</v>
      </c>
      <c r="L48" s="2">
        <f>(K48+(L45-L30))</f>
        <v>6876598.046033766</v>
      </c>
      <c r="M48" s="2">
        <f>(L48+(M45-M30))</f>
        <v>8514745.301208451</v>
      </c>
      <c r="N48" s="2">
        <f>M48</f>
        <v>8514745.301208451</v>
      </c>
      <c r="O48" s="0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49" ht="55" customHeight="1">
      <c r="A49" s="5" t="inlineStr">
        <is>
          <t xml:space="preserve">Свободный поток после покупок</t>
        </is>
      </c>
      <c r="B49" s="2">
        <f>(B45-B30)</f>
        <v>833416.6666666666</v>
      </c>
      <c r="C49" s="2">
        <f>(C45-C30)</f>
        <v>893086.6666666666</v>
      </c>
      <c r="D49" s="2">
        <f>(D45-D30)</f>
        <v>955143.4666666667</v>
      </c>
      <c r="E49" s="2">
        <f>(E45-E30)</f>
        <v>1019682.5386666667</v>
      </c>
      <c r="F49" s="2">
        <f>(F45-F30)</f>
        <v>1086803.1735466667</v>
      </c>
      <c r="G49" s="2">
        <f>(G45-G30)</f>
        <v>1156608.6338218667</v>
      </c>
      <c r="H49" s="2">
        <f>(H45-H30)</f>
        <v>1229206.3125080753</v>
      </c>
      <c r="I49" s="2">
        <f>(I45-I30)</f>
        <v>1304707.8983417312</v>
      </c>
      <c r="J49" s="2">
        <f>(J45-J30)</f>
        <v>1383229.547608734</v>
      </c>
      <c r="K49" s="2">
        <f>(K45-K30)</f>
        <v>1464892.062846417</v>
      </c>
      <c r="L49" s="2">
        <f>(L45-L30)</f>
        <v>1549821.0786936074</v>
      </c>
      <c r="M49" s="2">
        <f>(M45-M30)</f>
        <v>1638147.255174685</v>
      </c>
      <c r="N49" s="2">
        <f>SUM(B49:M49)</f>
        <v>14514745.301208448</v>
      </c>
      <c r="O49" s="0" t="inlineStr">
        <is>
          <t xml:space="preserve">Операционный поток − покупка активов, до погашения тела кредита.</t>
        </is>
      </c>
    </row>
    <row r="50" ht="55" customHeight="1">
      <c r="A50" s="5" t="inlineStr">
        <is>
          <t xml:space="preserve">Полный платёж по кредиту</t>
        </is>
      </c>
      <c r="B50" s="2">
        <f>(B34+B35)</f>
        <v>0</v>
      </c>
      <c r="C50" s="2">
        <f>(C34+C35)</f>
        <v>0</v>
      </c>
      <c r="D50" s="2">
        <f>(D34+D35)</f>
        <v>0</v>
      </c>
      <c r="E50" s="2">
        <f>(E34+E35)</f>
        <v>0</v>
      </c>
      <c r="F50" s="2">
        <f>(F34+F35)</f>
        <v>0</v>
      </c>
      <c r="G50" s="2">
        <f>(G34+G35)</f>
        <v>0</v>
      </c>
      <c r="H50" s="2">
        <f>(H34+H35)</f>
        <v>0</v>
      </c>
      <c r="I50" s="2">
        <f>(I34+I35)</f>
        <v>0</v>
      </c>
      <c r="J50" s="2">
        <f>(J34+J35)</f>
        <v>0</v>
      </c>
      <c r="K50" s="2">
        <f>(K34+K35)</f>
        <v>0</v>
      </c>
      <c r="L50" s="2">
        <f>(L34+L35)</f>
        <v>0</v>
      </c>
      <c r="M50" s="2">
        <f>(M34+M35)</f>
        <v>0</v>
      </c>
      <c r="N50" s="2">
        <f>SUM(B50:M50)</f>
        <v>0</v>
      </c>
      <c r="O50" s="0" t="inlineStr">
        <is>
          <t xml:space="preserve">Проценты + погашение тела. Это расшифровка, не дополнительное списание.</t>
        </is>
      </c>
    </row>
    <row r="51" ht="55" customHeight="1">
      <c r="A51" s="5" t="inlineStr">
        <is>
          <t xml:space="preserve">Инвестиции накопленно</t>
        </is>
      </c>
      <c r="B51" s="2">
        <f>('Вводные'!$B$12+B30)</f>
        <v>6000000</v>
      </c>
      <c r="C51" s="2">
        <f>(B51+C30)</f>
        <v>6000000</v>
      </c>
      <c r="D51" s="2">
        <f>(C51+D30)</f>
        <v>6000000</v>
      </c>
      <c r="E51" s="2">
        <f>(D51+E30)</f>
        <v>6000000</v>
      </c>
      <c r="F51" s="2">
        <f>(E51+F30)</f>
        <v>6000000</v>
      </c>
      <c r="G51" s="2">
        <f>(F51+G30)</f>
        <v>6000000</v>
      </c>
      <c r="H51" s="2">
        <f>(G51+H30)</f>
        <v>6000000</v>
      </c>
      <c r="I51" s="2">
        <f>(H51+I30)</f>
        <v>6000000</v>
      </c>
      <c r="J51" s="2">
        <f>(I51+J30)</f>
        <v>6000000</v>
      </c>
      <c r="K51" s="2">
        <f>(J51+K30)</f>
        <v>6000000</v>
      </c>
      <c r="L51" s="2">
        <f>(K51+L30)</f>
        <v>6000000</v>
      </c>
      <c r="M51" s="2">
        <f>(L51+M30)</f>
        <v>6000000</v>
      </c>
      <c r="N51" s="2">
        <f>M51</f>
        <v>6000000</v>
      </c>
      <c r="O51" s="0" t="inlineStr">
        <is>
          <t xml:space="preserve">Вложения до М1 + покупки активов к выбранному месяцу.</t>
        </is>
      </c>
    </row>
    <row r="52" ht="55" customHeight="1">
      <c r="A52" s="5" t="inlineStr">
        <is>
          <t xml:space="preserve">Операционный поток накопленно</t>
        </is>
      </c>
      <c r="B52" s="2">
        <f>(0+B45)</f>
        <v>833416.6666666666</v>
      </c>
      <c r="C52" s="2">
        <f>(B52+C45)</f>
        <v>1726503.3333333333</v>
      </c>
      <c r="D52" s="2">
        <f>(C52+D45)</f>
        <v>2681646.8</v>
      </c>
      <c r="E52" s="2">
        <f>(D52+E45)</f>
        <v>3701329.3386666663</v>
      </c>
      <c r="F52" s="2">
        <f>(E52+F45)</f>
        <v>4788132.512213333</v>
      </c>
      <c r="G52" s="2">
        <f>(F52+G45)</f>
        <v>5944741.146035199</v>
      </c>
      <c r="H52" s="2">
        <f>(G52+H45)</f>
        <v>7173947.458543275</v>
      </c>
      <c r="I52" s="2">
        <f>(H52+I45)</f>
        <v>8478655.356885005</v>
      </c>
      <c r="J52" s="2">
        <f>(I52+J45)</f>
        <v>9861884.904493738</v>
      </c>
      <c r="K52" s="2">
        <f>(J52+K45)</f>
        <v>11326776.967340155</v>
      </c>
      <c r="L52" s="2">
        <f>(K52+L45)</f>
        <v>12876598.046033762</v>
      </c>
      <c r="M52" s="2">
        <f>(L52+M45)</f>
        <v>14514745.301208448</v>
      </c>
      <c r="N52" s="2">
        <f>M52</f>
        <v>14514745.301208448</v>
      </c>
      <c r="O52" s="0" t="inlineStr">
        <is>
          <t xml:space="preserve">Сумма операционных денежных потоков после процентов и налога.</t>
        </is>
      </c>
    </row>
    <row r="53" ht="25" customHeight="1">
      <c r="A53" s="5" t="inlineStr">
        <is>
          <t xml:space="preserve">Результат / вложения (0 при отсутствии вложений)</t>
        </is>
      </c>
      <c r="B53" s="3">
        <f>IF(B51&gt;0,B48/B51,"")</f>
        <v>-0.8610972222222222</v>
      </c>
      <c r="C53" s="3">
        <f>IF(C51&gt;0,C48/C51,"")</f>
        <v>-0.7122494444444444</v>
      </c>
      <c r="D53" s="3">
        <f>IF(D51&gt;0,D48/D51,"")</f>
        <v>-0.5530588666666666</v>
      </c>
      <c r="E53" s="3">
        <f>IF(E51&gt;0,E48/E51,"")</f>
        <v>-0.3831117768888888</v>
      </c>
      <c r="F53" s="3">
        <f>IF(F51&gt;0,F48/F51,"")</f>
        <v>-0.201977914631111</v>
      </c>
      <c r="G53" s="3">
        <f>IF(G51&gt;0,G48/G51,"")</f>
        <v>-0.00920980899413322</v>
      </c>
      <c r="H53" s="3">
        <f>IF(H51&gt;0,H48/H51,"")</f>
        <v>0.19565790975721264</v>
      </c>
      <c r="I53" s="3">
        <f>IF(I51&gt;0,I48/I51,"")</f>
        <v>0.4131092261475012</v>
      </c>
      <c r="J53" s="3">
        <f>IF(J51&gt;0,J48/J51,"")</f>
        <v>0.6436474840822902</v>
      </c>
      <c r="K53" s="3">
        <f>IF(K51&gt;0,K48/K51,"")</f>
        <v>0.8877961612233597</v>
      </c>
      <c r="L53" s="3">
        <f>IF(L51&gt;0,L48/L51,"")</f>
        <v>1.146099674338961</v>
      </c>
      <c r="M53" s="3">
        <f>IF(M51&gt;0,M48/M51,"")</f>
        <v>1.4191242168680753</v>
      </c>
      <c r="N53" s="3">
        <f>IF(N51&gt;0,N48/N51,"")</f>
        <v>1.4191242168680753</v>
      </c>
    </row>
    <row r="54" ht="25" customHeight="1">
      <c r="A54" s="5" t="inlineStr">
        <is>
          <t xml:space="preserve">Маржа чистой прибыли</t>
        </is>
      </c>
      <c r="B54" s="3">
        <f>IF(B8&gt;0,B39/B8,"")</f>
        <v>0.2614705882352941</v>
      </c>
      <c r="C54" s="3">
        <f>IF(C8&gt;0,C39/C8,"")</f>
        <v>0.2739140271493213</v>
      </c>
      <c r="D54" s="3">
        <f>IF(D8&gt;0,D39/D8,"")</f>
        <v>0.28587887225896275</v>
      </c>
      <c r="E54" s="3">
        <f>IF(E8&gt;0,E39/E8,"")</f>
        <v>0.29738353101823345</v>
      </c>
      <c r="F54" s="3">
        <f>IF(F8&gt;0,F39/F8,"")</f>
        <v>0.30844570290214757</v>
      </c>
      <c r="G54" s="3">
        <f>IF(G8&gt;0,G39/G8,"")</f>
        <v>0.3190824066366803</v>
      </c>
      <c r="H54" s="3">
        <f>IF(H8&gt;0,H39/H8,"")</f>
        <v>0.32931000638142344</v>
      </c>
      <c r="I54" s="3">
        <f>IF(I8&gt;0,I39/I8,"")</f>
        <v>0.33914423690521484</v>
      </c>
      <c r="J54" s="3">
        <f>IF(J8&gt;0,J39/J8,"")</f>
        <v>0.3486002277934758</v>
      </c>
      <c r="K54" s="3">
        <f>IF(K8&gt;0,K39/K8,"")</f>
        <v>0.35769252672449603</v>
      </c>
      <c r="L54" s="3">
        <f>IF(L8&gt;0,L39/L8,"")</f>
        <v>0.366435121850477</v>
      </c>
      <c r="M54" s="3">
        <f>IF(M8&gt;0,M39/M8,"")</f>
        <v>0.3748414633177663</v>
      </c>
      <c r="N54" s="3">
        <f>IF(N8&gt;0,N39/N8,"")</f>
        <v>0.32662097663060385</v>
      </c>
    </row>
    <row r="55" ht="25" customHeight="1">
      <c r="A55" s="5" t="inlineStr">
        <is>
          <t xml:space="preserve">CAC: стоимость клиента</t>
        </is>
      </c>
      <c r="B55" s="2">
        <f>IF(B23&gt;0,B21/B23,"")</f>
        <v>7500</v>
      </c>
      <c r="C55" s="2">
        <f>IF(C23&gt;0,C21/C23,"")</f>
        <v>7500</v>
      </c>
      <c r="D55" s="2">
        <f>IF(D23&gt;0,D21/D23,"")</f>
        <v>7500</v>
      </c>
      <c r="E55" s="2">
        <f>IF(E23&gt;0,E21/E23,"")</f>
        <v>7500</v>
      </c>
      <c r="F55" s="2">
        <f>IF(F23&gt;0,F21/F23,"")</f>
        <v>7500</v>
      </c>
      <c r="G55" s="2">
        <f>IF(G23&gt;0,G21/G23,"")</f>
        <v>7500</v>
      </c>
      <c r="H55" s="2">
        <f>IF(H23&gt;0,H21/H23,"")</f>
        <v>7500</v>
      </c>
      <c r="I55" s="2">
        <f>IF(I23&gt;0,I21/I23,"")</f>
        <v>7500</v>
      </c>
      <c r="J55" s="2">
        <f>IF(J23&gt;0,J21/J23,"")</f>
        <v>7500</v>
      </c>
      <c r="K55" s="2">
        <f>IF(K23&gt;0,K21/K23,"")</f>
        <v>7500</v>
      </c>
      <c r="L55" s="2">
        <f>IF(L23&gt;0,L21/L23,"")</f>
        <v>7500</v>
      </c>
      <c r="M55" s="2">
        <f>IF(M23&gt;0,M21/M23,"")</f>
        <v>7500</v>
      </c>
      <c r="N55" s="2">
        <f>IF(N23&gt;0,N21/N23,"")</f>
        <v>7500</v>
      </c>
    </row>
    <row r="56" ht="25" customHeight="1">
      <c r="A56" s="5" t="inlineStr">
        <is>
          <t xml:space="preserve">CPL: стоимость заявки</t>
        </is>
      </c>
      <c r="B56" s="2">
        <f>IF(B22&gt;0,B21/B22,"")</f>
        <v>1500</v>
      </c>
      <c r="C56" s="2">
        <f>IF(C22&gt;0,C21/C22,"")</f>
        <v>1500</v>
      </c>
      <c r="D56" s="2">
        <f>IF(D22&gt;0,D21/D22,"")</f>
        <v>1500</v>
      </c>
      <c r="E56" s="2">
        <f>IF(E22&gt;0,E21/E22,"")</f>
        <v>1500</v>
      </c>
      <c r="F56" s="2">
        <f>IF(F22&gt;0,F21/F22,"")</f>
        <v>1500</v>
      </c>
      <c r="G56" s="2">
        <f>IF(G22&gt;0,G21/G22,"")</f>
        <v>1500</v>
      </c>
      <c r="H56" s="2">
        <f>IF(H22&gt;0,H21/H22,"")</f>
        <v>1500</v>
      </c>
      <c r="I56" s="2">
        <f>IF(I22&gt;0,I21/I22,"")</f>
        <v>1500</v>
      </c>
      <c r="J56" s="2">
        <f>IF(J22&gt;0,J21/J22,"")</f>
        <v>1500</v>
      </c>
      <c r="K56" s="2">
        <f>IF(K22&gt;0,K21/K22,"")</f>
        <v>1500</v>
      </c>
      <c r="L56" s="2">
        <f>IF(L22&gt;0,L21/L22,"")</f>
        <v>1500</v>
      </c>
      <c r="M56" s="2">
        <f>IF(M22&gt;0,M21/M22,"")</f>
        <v>1500</v>
      </c>
      <c r="N56" s="2">
        <f>IF(N22&gt;0,N21/N22,"")</f>
        <v>1500</v>
      </c>
    </row>
    <row r="57" ht="25" customHeight="1">
      <c r="A57" s="5" t="inlineStr">
        <is>
          <t xml:space="preserve">ROAS: рекламная выручка / бюджет</t>
        </is>
      </c>
      <c r="B57" s="4">
        <f>IF(B21&gt;0,B24/B21,"")</f>
        <v>1.1333333333333333</v>
      </c>
      <c r="C57" s="4">
        <f>IF(C21&gt;0,C24/C21,"")</f>
        <v>1.1333333333333333</v>
      </c>
      <c r="D57" s="4">
        <f>IF(D21&gt;0,D24/D21,"")</f>
        <v>1.1333333333333333</v>
      </c>
      <c r="E57" s="4">
        <f>IF(E21&gt;0,E24/E21,"")</f>
        <v>1.1333333333333333</v>
      </c>
      <c r="F57" s="4">
        <f>IF(F21&gt;0,F24/F21,"")</f>
        <v>1.1333333333333333</v>
      </c>
      <c r="G57" s="4">
        <f>IF(G21&gt;0,G24/G21,"")</f>
        <v>1.1333333333333333</v>
      </c>
      <c r="H57" s="4">
        <f>IF(H21&gt;0,H24/H21,"")</f>
        <v>1.1333333333333333</v>
      </c>
      <c r="I57" s="4">
        <f>IF(I21&gt;0,I24/I21,"")</f>
        <v>1.1333333333333333</v>
      </c>
      <c r="J57" s="4">
        <f>IF(J21&gt;0,J24/J21,"")</f>
        <v>1.1333333333333333</v>
      </c>
      <c r="K57" s="4">
        <f>IF(K21&gt;0,K24/K21,"")</f>
        <v>1.1333333333333333</v>
      </c>
      <c r="L57" s="4">
        <f>IF(L21&gt;0,L24/L21,"")</f>
        <v>1.1333333333333333</v>
      </c>
      <c r="M57" s="4">
        <f>IF(M21&gt;0,M24/M21,"")</f>
        <v>1.1333333333333333</v>
      </c>
      <c r="N57" s="4">
        <f>IF(N21&gt;0,N24/N21,"")</f>
        <v>1.1333333333333333</v>
      </c>
    </row>
    <row r="58" ht="25" customHeight="1">
      <c r="A58" s="5" t="inlineStr">
        <is>
          <t xml:space="preserve">Стартовый остаток</t>
        </is>
      </c>
      <c r="N58" s="2">
        <f>('Вводные'!B10+'Вводные'!B11+'Вводные'!B14-'Вводные'!B12)</f>
        <v>-3000000</v>
      </c>
    </row>
    <row r="59" ht="55" customHeight="1">
      <c r="A59" s="5" t="inlineStr">
        <is>
          <t xml:space="preserve">Дополнительное финансирование</t>
        </is>
      </c>
      <c r="N59" s="2">
        <f>MAX(0,-MIN(('Вводные'!B10+'Вводные'!B11+'Вводные'!B14-'Вводные'!B12),B47:M47))</f>
        <v>3000000</v>
      </c>
      <c r="O59" s="0" t="inlineStr">
        <is>
          <t xml:space="preserve">По минимуму остатка на старте и концах месяцев; внутримесячные разрывы не оцениваются.</t>
        </is>
      </c>
    </row>
    <row r="60" ht="55" customHeight="1">
      <c r="A60" s="5" t="inlineStr">
        <is>
          <t xml:space="preserve">Безубыточная выручка М1</t>
        </is>
      </c>
      <c r="N60" s="2">
        <f>IF((1-IF('Вводные'!B4="manual",'Вводные'!B5/100,IF(B8&gt;0,B9/B8,1))-(IF(AND('Вводные'!B56="percent",'Вводные'!B59=1),'Вводные'!B57/100,0)+IF(AND('Вводные'!B62="percent",'Вводные'!B65=1),'Вводные'!B63/100,0)+IF('Вводные'!B53=1,'Вводные'!B47/100,0)+0)-IF('Вводные'!B6="revenue",'Вводные'!B7/100,0))&gt;0,(B28-B8*(IF(AND('Вводные'!B56="percent",'Вводные'!B59=1),'Вводные'!B57/100,0)+IF(AND('Вводные'!B62="percent",'Вводные'!B65=1),'Вводные'!B63/100,0)+IF('Вводные'!B53=1,'Вводные'!B47/100,0)+0)+B31+B34)/(1-IF('Вводные'!B4="manual",'Вводные'!B5/100,IF(B8&gt;0,B9/B8,1))-(IF(AND('Вводные'!B56="percent",'Вводные'!B59=1),'Вводные'!B57/100,0)+IF(AND('Вводные'!B62="percent",'Вводные'!B65=1),'Вводные'!B63/100,0)+IF('Вводные'!B53=1,'Вводные'!B47/100,0)+0)-IF('Вводные'!B6="revenue",'Вводные'!B7/100,0)),"")</f>
        <v>1410256.4102564103</v>
      </c>
      <c r="O60" s="0" t="inlineStr">
        <is>
          <t xml:space="preserve">При структуре затрат и продаж первого месяца, включая амортизацию и проценты.</t>
        </is>
      </c>
    </row>
    <row r="61" ht="25" customHeight="1">
      <c r="A61" s="5" t="inlineStr">
        <is>
          <t xml:space="preserve">Первое покрытие вложений, месяц</t>
        </is>
      </c>
      <c r="N61" s="0">
        <f>IF(('Вводные'!B12)=0,0,IF(B48&gt;=0,1,IF(C48&gt;=0,2,IF(D48&gt;=0,3,IF(E48&gt;=0,4,IF(F48&gt;=0,5,IF(G48&gt;=0,6,IF(H48&gt;=0,7,IF(I48&gt;=0,8,IF(J48&gt;=0,9,IF(K48&gt;=0,10,IF(L48&gt;=0,11,IF(M48&gt;=0,12,"Не достигнуто")))))))))))))</f>
        <v>7</v>
      </c>
    </row>
    <row r="62" ht="30" customHeight="1">
      <c r="A62" s="0" t="inlineStr">
        <is>
          <t xml:space="preserve">Источник: введённые пользователем допущения. Начальные данные — пример, не рыночный прогноз.</t>
        </is>
      </c>
    </row>
    <row r="63" ht="30" customHeight="1">
      <c r="A63" s="0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</row>
    <row r="64" ht="30" customHeight="1">
      <c r="A64" s="0" t="inlineStr">
        <is>
          <t xml:space="preserve">Кредит и взнос до М1. Аннуитет с М1, без комиссий и досрочных погашений.</t>
        </is>
      </c>
    </row>
    <row r="65" ht="30" customHeight="1">
      <c r="A65" s="0" t="inlineStr">
        <is>
          <t xml:space="preserve">Задержки оплаты: целые месяцы. Начальные дебиторская и кредиторская задолженности — 0.</t>
        </is>
      </c>
    </row>
    <row r="66" ht="30" customHeight="1">
      <c r="A66" s="0" t="inlineStr">
        <is>
          <t xml:space="preserve">Оценка рекламной выручки не добавляется к обороту. Укажите эти продажи в плане выручки.</t>
        </is>
      </c>
    </row>
    <row r="67" ht="30" customHeight="1">
      <c r="A67" s="0" t="inlineStr">
        <is>
          <t xml:space="preserve">Редактируйте значения на листе «Вводные». Формулы на листе «Модель» пересчитаются в Excel.</t>
        </is>
      </c>
    </row>
  </sheetData>
  <mergeCells count="8">
    <mergeCell ref="A1:O1"/>
    <mergeCell ref="A2:O2"/>
    <mergeCell ref="A62:O62"/>
    <mergeCell ref="A63:O63"/>
    <mergeCell ref="A64:O64"/>
    <mergeCell ref="A65:O65"/>
    <mergeCell ref="A66:O66"/>
    <mergeCell ref="A67:O67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1" t="inlineStr">
        <is>
          <t xml:space="preserve">ВВОДНЫЕ / Мой бизнес</t>
        </is>
      </c>
    </row>
    <row r="2" ht="25" customHeight="1">
      <c r="A2" s="0" t="inlineStr">
        <is>
          <t xml:space="preserve">Редактируйте колонку B. Суммы в KZT. Проценты задаются числом: 10 = 10%.</t>
        </is>
      </c>
    </row>
    <row r="3" ht="25" customHeight="1">
      <c r="A3" s="1" t="inlineStr">
        <is>
          <t xml:space="preserve">Параметр</t>
        </is>
      </c>
      <c r="B3" s="1" t="inlineStr">
        <is>
          <t xml:space="preserve">Значение</t>
        </is>
      </c>
      <c r="C3" s="1" t="inlineStr">
        <is>
          <t xml:space="preserve">Пояснение</t>
        </is>
      </c>
    </row>
    <row r="4" ht="42" customHeight="1">
      <c r="A4" s="0" t="inlineStr">
        <is>
          <t xml:space="preserve">Способ ввода выручки</t>
        </is>
      </c>
      <c r="B4" s="6" t="inlineStr">
        <is>
          <t xml:space="preserve">items</t>
        </is>
      </c>
      <c r="C4" s="0" t="inlineStr">
        <is>
          <t xml:space="preserve">items — товары; manual — ручной оборот</t>
        </is>
      </c>
    </row>
    <row r="5" ht="42" customHeight="1">
      <c r="A5" s="0" t="inlineStr">
        <is>
          <t xml:space="preserve">Себестоимость ручного оборота, %</t>
        </is>
      </c>
      <c r="B5" s="6">
        <v>35</v>
      </c>
      <c r="C5" s="0" t="inlineStr">
        <is>
          <t xml:space="preserve"/>
        </is>
      </c>
    </row>
    <row r="6" ht="42" customHeight="1">
      <c r="A6" s="0" t="inlineStr">
        <is>
          <t xml:space="preserve">База условного налога</t>
        </is>
      </c>
      <c r="B6" s="6" t="inlineStr">
        <is>
          <t xml:space="preserve">profit</t>
        </is>
      </c>
      <c r="C6" s="0" t="inlineStr">
        <is>
          <t xml:space="preserve">profit — прибыль; revenue — оборот; none — без налога</t>
        </is>
      </c>
    </row>
    <row r="7" ht="42" customHeight="1">
      <c r="A7" s="0" t="inlineStr">
        <is>
          <t xml:space="preserve">Ставка налога, %</t>
        </is>
      </c>
      <c r="B7" s="6">
        <v>10</v>
      </c>
      <c r="C7" s="0" t="inlineStr">
        <is>
          <t xml:space="preserve"/>
        </is>
      </c>
    </row>
    <row r="8" ht="42" customHeight="1">
      <c r="A8" s="0" t="inlineStr">
        <is>
          <t xml:space="preserve">Оплата клиентов через, мес.</t>
        </is>
      </c>
      <c r="B8" s="6">
        <v>0</v>
      </c>
      <c r="C8" s="0" t="inlineStr">
        <is>
          <t xml:space="preserve">Целые месяцы от 0 до 12</t>
        </is>
      </c>
    </row>
    <row r="9" ht="42" customHeight="1">
      <c r="A9" s="0" t="inlineStr">
        <is>
          <t xml:space="preserve">Оплата себестоимости через, мес.</t>
        </is>
      </c>
      <c r="B9" s="6">
        <v>0</v>
      </c>
      <c r="C9" s="0" t="inlineStr">
        <is>
          <t xml:space="preserve">Целые месяцы от 0 до 12</t>
        </is>
      </c>
    </row>
    <row r="10" ht="42" customHeight="1">
      <c r="A10" s="0" t="inlineStr">
        <is>
          <t xml:space="preserve">Деньги на начало</t>
        </is>
      </c>
      <c r="B10" s="6">
        <v>0</v>
      </c>
      <c r="C10" s="0" t="inlineStr">
        <is>
          <t xml:space="preserve"/>
        </is>
      </c>
    </row>
    <row r="11" ht="42" customHeight="1">
      <c r="A11" s="0" t="inlineStr">
        <is>
          <t xml:space="preserve">Взнос собственника до М1</t>
        </is>
      </c>
      <c r="B11" s="6">
        <v>3000000</v>
      </c>
      <c r="C11" s="0" t="inlineStr">
        <is>
          <t xml:space="preserve"/>
        </is>
      </c>
    </row>
    <row r="12" ht="42" customHeight="1">
      <c r="A12" s="0" t="inlineStr">
        <is>
          <t xml:space="preserve">Вложения до М1</t>
        </is>
      </c>
      <c r="B12" s="6">
        <v>6000000</v>
      </c>
      <c r="C12" s="0" t="inlineStr">
        <is>
          <t xml:space="preserve"/>
        </is>
      </c>
    </row>
    <row r="13" ht="42" customHeight="1">
      <c r="A13" s="0" t="inlineStr">
        <is>
          <t xml:space="preserve">Амортизация начальных вложений, мес. (0 — нет)</t>
        </is>
      </c>
      <c r="B13" s="6">
        <v>36</v>
      </c>
      <c r="C13" s="0" t="inlineStr">
        <is>
          <t xml:space="preserve">0 отключает амортизацию начальных вложений</t>
        </is>
      </c>
    </row>
    <row r="14" ht="42" customHeight="1">
      <c r="A14" s="0" t="inlineStr">
        <is>
          <t xml:space="preserve">Кредит до М1</t>
        </is>
      </c>
      <c r="B14" s="6">
        <v>0</v>
      </c>
      <c r="C14" s="0" t="inlineStr">
        <is>
          <t xml:space="preserve"/>
        </is>
      </c>
    </row>
    <row r="15" ht="42" customHeight="1">
      <c r="A15" s="0" t="inlineStr">
        <is>
          <t xml:space="preserve">Годовая ставка кредита, %</t>
        </is>
      </c>
      <c r="B15" s="6">
        <v>18</v>
      </c>
      <c r="C15" s="0" t="inlineStr">
        <is>
          <t xml:space="preserve"/>
        </is>
      </c>
    </row>
    <row r="16" ht="42" customHeight="1">
      <c r="A16" s="0" t="inlineStr">
        <is>
          <t xml:space="preserve">Срок кредита, мес.</t>
        </is>
      </c>
      <c r="B16" s="6">
        <v>24</v>
      </c>
      <c r="C16" s="0" t="inlineStr">
        <is>
          <t xml:space="preserve"/>
        </is>
      </c>
    </row>
    <row r="17" ht="42" customHeight="1">
      <c r="A17" s="0" t="inlineStr">
        <is>
          <t xml:space="preserve">Множитель сценария</t>
        </is>
      </c>
      <c r="B17" s="6">
        <v>1</v>
      </c>
      <c r="C17" s="0" t="inlineStr">
        <is>
          <t xml:space="preserve">База: 1; осторожный: 0.8; оптимистичный: 1.2</t>
        </is>
      </c>
    </row>
    <row r="18" ht="42" customHeight="1">
      <c r="A18" s="0" t="inlineStr">
        <is>
          <t xml:space="preserve">Ручной оборот · М1</t>
        </is>
      </c>
      <c r="B18" s="6">
        <v>2550000</v>
      </c>
      <c r="C18" s="0" t="inlineStr">
        <is>
          <t xml:space="preserve"/>
        </is>
      </c>
    </row>
    <row r="19" ht="42" customHeight="1">
      <c r="A19" s="0" t="inlineStr">
        <is>
          <t xml:space="preserve">Ручной оборот · М2</t>
        </is>
      </c>
      <c r="B19" s="6">
        <v>2550000</v>
      </c>
      <c r="C19" s="0" t="inlineStr">
        <is>
          <t xml:space="preserve"/>
        </is>
      </c>
    </row>
    <row r="20" ht="42" customHeight="1">
      <c r="A20" s="0" t="inlineStr">
        <is>
          <t xml:space="preserve">Ручной оборот · М3</t>
        </is>
      </c>
      <c r="B20" s="6">
        <v>2550000</v>
      </c>
      <c r="C20" s="0" t="inlineStr">
        <is>
          <t xml:space="preserve"/>
        </is>
      </c>
    </row>
    <row r="21" ht="42" customHeight="1">
      <c r="A21" s="0" t="inlineStr">
        <is>
          <t xml:space="preserve">Ручной оборот · М4</t>
        </is>
      </c>
      <c r="B21" s="6">
        <v>2550000</v>
      </c>
      <c r="C21" s="0" t="inlineStr">
        <is>
          <t xml:space="preserve"/>
        </is>
      </c>
    </row>
    <row r="22" ht="42" customHeight="1">
      <c r="A22" s="0" t="inlineStr">
        <is>
          <t xml:space="preserve">Ручной оборот · М5</t>
        </is>
      </c>
      <c r="B22" s="6">
        <v>2550000</v>
      </c>
      <c r="C22" s="0" t="inlineStr">
        <is>
          <t xml:space="preserve"/>
        </is>
      </c>
    </row>
    <row r="23" ht="42" customHeight="1">
      <c r="A23" s="0" t="inlineStr">
        <is>
          <t xml:space="preserve">Ручной оборот · М6</t>
        </is>
      </c>
      <c r="B23" s="6">
        <v>2550000</v>
      </c>
      <c r="C23" s="0" t="inlineStr">
        <is>
          <t xml:space="preserve"/>
        </is>
      </c>
    </row>
    <row r="24" ht="42" customHeight="1">
      <c r="A24" s="0" t="inlineStr">
        <is>
          <t xml:space="preserve">Ручной оборот · М7</t>
        </is>
      </c>
      <c r="B24" s="6">
        <v>2550000</v>
      </c>
      <c r="C24" s="0" t="inlineStr">
        <is>
          <t xml:space="preserve"/>
        </is>
      </c>
    </row>
    <row r="25" ht="42" customHeight="1">
      <c r="A25" s="0" t="inlineStr">
        <is>
          <t xml:space="preserve">Ручной оборот · М8</t>
        </is>
      </c>
      <c r="B25" s="6">
        <v>2550000</v>
      </c>
      <c r="C25" s="0" t="inlineStr">
        <is>
          <t xml:space="preserve"/>
        </is>
      </c>
    </row>
    <row r="26" ht="42" customHeight="1">
      <c r="A26" s="0" t="inlineStr">
        <is>
          <t xml:space="preserve">Ручной оборот · М9</t>
        </is>
      </c>
      <c r="B26" s="6">
        <v>2550000</v>
      </c>
      <c r="C26" s="0" t="inlineStr">
        <is>
          <t xml:space="preserve"/>
        </is>
      </c>
    </row>
    <row r="27" ht="42" customHeight="1">
      <c r="A27" s="0" t="inlineStr">
        <is>
          <t xml:space="preserve">Ручной оборот · М10</t>
        </is>
      </c>
      <c r="B27" s="6">
        <v>2550000</v>
      </c>
      <c r="C27" s="0" t="inlineStr">
        <is>
          <t xml:space="preserve"/>
        </is>
      </c>
    </row>
    <row r="28" ht="42" customHeight="1">
      <c r="A28" s="0" t="inlineStr">
        <is>
          <t xml:space="preserve">Ручной оборот · М11</t>
        </is>
      </c>
      <c r="B28" s="6">
        <v>2550000</v>
      </c>
      <c r="C28" s="0" t="inlineStr">
        <is>
          <t xml:space="preserve"/>
        </is>
      </c>
    </row>
    <row r="29" ht="42" customHeight="1">
      <c r="A29" s="0" t="inlineStr">
        <is>
          <t xml:space="preserve">Ручной оборот · М12</t>
        </is>
      </c>
      <c r="B29" s="6">
        <v>2550000</v>
      </c>
      <c r="C29" s="0" t="inlineStr">
        <is>
          <t xml:space="preserve"/>
        </is>
      </c>
    </row>
    <row r="30" ht="42" customHeight="1">
      <c r="A30" s="0" t="inlineStr">
        <is>
          <t xml:space="preserve">Основной продукт · Название</t>
        </is>
      </c>
      <c r="B30" s="6" t="inlineStr">
        <is>
          <t xml:space="preserve">Основной продукт</t>
        </is>
      </c>
      <c r="C30" s="0" t="inlineStr">
        <is>
          <t xml:space="preserve"/>
        </is>
      </c>
    </row>
    <row r="31" ht="42" customHeight="1">
      <c r="A31" s="0" t="inlineStr">
        <is>
          <t xml:space="preserve">Основной продукт · Количество в первый активный месяц</t>
        </is>
      </c>
      <c r="B31" s="6">
        <v>300</v>
      </c>
      <c r="C31" s="0" t="inlineStr">
        <is>
          <t xml:space="preserve"/>
        </is>
      </c>
    </row>
    <row r="32" ht="42" customHeight="1">
      <c r="A32" s="0" t="inlineStr">
        <is>
          <t xml:space="preserve">Основной продукт · Цена</t>
        </is>
      </c>
      <c r="B32" s="6">
        <v>8500</v>
      </c>
      <c r="C32" s="0" t="inlineStr">
        <is>
          <t xml:space="preserve"/>
        </is>
      </c>
    </row>
    <row r="33" ht="42" customHeight="1">
      <c r="A33" s="0" t="inlineStr">
        <is>
          <t xml:space="preserve">Основной продукт · Рост в месяц, %</t>
        </is>
      </c>
      <c r="B33" s="6">
        <v>4</v>
      </c>
      <c r="C33" s="0" t="inlineStr">
        <is>
          <t xml:space="preserve"/>
        </is>
      </c>
    </row>
    <row r="34" ht="42" customHeight="1">
      <c r="A34" s="0" t="inlineStr">
        <is>
          <t xml:space="preserve">Основной продукт · Себестоимость, % выручки</t>
        </is>
      </c>
      <c r="B34" s="6">
        <v>35</v>
      </c>
      <c r="C34" s="0" t="inlineStr">
        <is>
          <t xml:space="preserve"/>
        </is>
      </c>
    </row>
    <row r="35" ht="42" customHeight="1">
      <c r="A35" s="0" t="inlineStr">
        <is>
          <t xml:space="preserve">Основной продукт · С месяца</t>
        </is>
      </c>
      <c r="B35" s="6">
        <v>1</v>
      </c>
      <c r="C35" s="0" t="inlineStr">
        <is>
          <t xml:space="preserve">Номер периода: 1 — М1, …, 12 — М12</t>
        </is>
      </c>
    </row>
    <row r="36" ht="42" customHeight="1">
      <c r="A36" s="0" t="inlineStr">
        <is>
          <t xml:space="preserve">Основной продукт · По месяц</t>
        </is>
      </c>
      <c r="B36" s="6">
        <v>12</v>
      </c>
      <c r="C36" s="0" t="inlineStr">
        <is>
          <t xml:space="preserve">Номер периода: 1 — М1, …, 12 — М12</t>
        </is>
      </c>
    </row>
    <row r="37" ht="42" customHeight="1">
      <c r="A37" s="0" t="inlineStr">
        <is>
          <t xml:space="preserve">Менеджер · Название</t>
        </is>
      </c>
      <c r="B37" s="6" t="inlineStr">
        <is>
          <t xml:space="preserve">Менеджер</t>
        </is>
      </c>
      <c r="C37" s="0" t="inlineStr">
        <is>
          <t xml:space="preserve"/>
        </is>
      </c>
    </row>
    <row r="38" ht="42" customHeight="1">
      <c r="A38" s="0" t="inlineStr">
        <is>
          <t xml:space="preserve">Менеджер · Количество сотрудников</t>
        </is>
      </c>
      <c r="B38" s="6">
        <v>1</v>
      </c>
      <c r="C38" s="0" t="inlineStr">
        <is>
          <t xml:space="preserve"/>
        </is>
      </c>
    </row>
    <row r="39" ht="42" customHeight="1">
      <c r="A39" s="0" t="inlineStr">
        <is>
          <t xml:space="preserve">Менеджер · Оклад одного / месяц</t>
        </is>
      </c>
      <c r="B39" s="6">
        <v>300000</v>
      </c>
      <c r="C39" s="0" t="inlineStr">
        <is>
          <t xml:space="preserve"/>
        </is>
      </c>
    </row>
    <row r="40" ht="42" customHeight="1">
      <c r="A40" s="0" t="inlineStr">
        <is>
          <t xml:space="preserve">Менеджер · Бонус одного / месяц</t>
        </is>
      </c>
      <c r="B40" s="6">
        <v>0</v>
      </c>
      <c r="C40" s="0" t="inlineStr">
        <is>
          <t xml:space="preserve"/>
        </is>
      </c>
    </row>
    <row r="41" ht="42" customHeight="1">
      <c r="A41" s="0" t="inlineStr">
        <is>
          <t xml:space="preserve">Менеджер · Начисления работодателя, %</t>
        </is>
      </c>
      <c r="B41" s="6">
        <v>15</v>
      </c>
      <c r="C41" s="0" t="inlineStr">
        <is>
          <t xml:space="preserve"/>
        </is>
      </c>
    </row>
    <row r="42" ht="42" customHeight="1">
      <c r="A42" s="0" t="inlineStr">
        <is>
          <t xml:space="preserve">Менеджер · Рост в месяц, %</t>
        </is>
      </c>
      <c r="B42" s="6">
        <v>0</v>
      </c>
      <c r="C42" s="0" t="inlineStr">
        <is>
          <t xml:space="preserve"/>
        </is>
      </c>
    </row>
    <row r="43" ht="42" customHeight="1">
      <c r="A43" s="0" t="inlineStr">
        <is>
          <t xml:space="preserve">Менеджер · С месяца</t>
        </is>
      </c>
      <c r="B43" s="6">
        <v>1</v>
      </c>
      <c r="C43" s="0" t="inlineStr">
        <is>
          <t xml:space="preserve">Номер периода: 1 — М1, …, 12 — М12</t>
        </is>
      </c>
    </row>
    <row r="44" ht="42" customHeight="1">
      <c r="A44" s="0" t="inlineStr">
        <is>
          <t xml:space="preserve">Менеджер · По месяц</t>
        </is>
      </c>
      <c r="B44" s="6">
        <v>12</v>
      </c>
      <c r="C44" s="0" t="inlineStr">
        <is>
          <t xml:space="preserve">Номер периода: 1 — М1, …, 12 — М12</t>
        </is>
      </c>
    </row>
    <row r="45" ht="42" customHeight="1">
      <c r="A45" s="0" t="inlineStr">
        <is>
          <t xml:space="preserve">Реклама · Название</t>
        </is>
      </c>
      <c r="B45" s="6" t="inlineStr">
        <is>
          <t xml:space="preserve">Реклама</t>
        </is>
      </c>
      <c r="C45" s="0" t="inlineStr">
        <is>
          <t xml:space="preserve"/>
        </is>
      </c>
    </row>
    <row r="46" ht="42" customHeight="1">
      <c r="A46" s="0" t="inlineStr">
        <is>
          <t xml:space="preserve">Реклама · Бюджет / месяц</t>
        </is>
      </c>
      <c r="B46" s="6">
        <v>120000</v>
      </c>
      <c r="C46" s="0" t="inlineStr">
        <is>
          <t xml:space="preserve"/>
        </is>
      </c>
    </row>
    <row r="47" ht="42" customHeight="1">
      <c r="A47" s="0" t="inlineStr">
        <is>
          <t xml:space="preserve">Реклама · Дополнительно от выручки, %</t>
        </is>
      </c>
      <c r="B47" s="6">
        <v>0</v>
      </c>
      <c r="C47" s="0" t="inlineStr">
        <is>
          <t xml:space="preserve"/>
        </is>
      </c>
    </row>
    <row r="48" ht="42" customHeight="1">
      <c r="A48" s="0" t="inlineStr">
        <is>
          <t xml:space="preserve">Реклама · Рост в месяц, %</t>
        </is>
      </c>
      <c r="B48" s="6">
        <v>0</v>
      </c>
      <c r="C48" s="0" t="inlineStr">
        <is>
          <t xml:space="preserve"/>
        </is>
      </c>
    </row>
    <row r="49" ht="42" customHeight="1">
      <c r="A49" s="0" t="inlineStr">
        <is>
          <t xml:space="preserve">Реклама · Цена клика</t>
        </is>
      </c>
      <c r="B49" s="6">
        <v>150</v>
      </c>
      <c r="C49" s="0" t="inlineStr">
        <is>
          <t xml:space="preserve"/>
        </is>
      </c>
    </row>
    <row r="50" ht="42" customHeight="1">
      <c r="A50" s="0" t="inlineStr">
        <is>
          <t xml:space="preserve">Реклама · Клики → заявки, %</t>
        </is>
      </c>
      <c r="B50" s="6">
        <v>10</v>
      </c>
      <c r="C50" s="0" t="inlineStr">
        <is>
          <t xml:space="preserve"/>
        </is>
      </c>
    </row>
    <row r="51" ht="42" customHeight="1">
      <c r="A51" s="0" t="inlineStr">
        <is>
          <t xml:space="preserve">Реклама · Заявки → клиенты, %</t>
        </is>
      </c>
      <c r="B51" s="6">
        <v>20</v>
      </c>
      <c r="C51" s="0" t="inlineStr">
        <is>
          <t xml:space="preserve"/>
        </is>
      </c>
    </row>
    <row r="52" ht="42" customHeight="1">
      <c r="A52" s="0" t="inlineStr">
        <is>
          <t xml:space="preserve">Реклама · Средний чек клиента</t>
        </is>
      </c>
      <c r="B52" s="6">
        <v>8500</v>
      </c>
      <c r="C52" s="0" t="inlineStr">
        <is>
          <t xml:space="preserve"/>
        </is>
      </c>
    </row>
    <row r="53" ht="42" customHeight="1">
      <c r="A53" s="0" t="inlineStr">
        <is>
          <t xml:space="preserve">Реклама · С месяца</t>
        </is>
      </c>
      <c r="B53" s="6">
        <v>1</v>
      </c>
      <c r="C53" s="0" t="inlineStr">
        <is>
          <t xml:space="preserve">Номер периода: 1 — М1, …, 12 — М12</t>
        </is>
      </c>
    </row>
    <row r="54" ht="42" customHeight="1">
      <c r="A54" s="0" t="inlineStr">
        <is>
          <t xml:space="preserve">Реклама · По месяц</t>
        </is>
      </c>
      <c r="B54" s="6">
        <v>12</v>
      </c>
      <c r="C54" s="0" t="inlineStr">
        <is>
          <t xml:space="preserve">Номер периода: 1 — М1, …, 12 — М12</t>
        </is>
      </c>
    </row>
    <row r="55" ht="42" customHeight="1">
      <c r="A55" s="0" t="inlineStr">
        <is>
          <t xml:space="preserve">Аренда · Название</t>
        </is>
      </c>
      <c r="B55" s="6" t="inlineStr">
        <is>
          <t xml:space="preserve">Аренда</t>
        </is>
      </c>
      <c r="C55" s="0" t="inlineStr">
        <is>
          <t xml:space="preserve"/>
        </is>
      </c>
    </row>
    <row r="56" ht="42" customHeight="1">
      <c r="A56" s="0" t="inlineStr">
        <is>
          <t xml:space="preserve">Аренда · Способ расчёта</t>
        </is>
      </c>
      <c r="B56" s="6" t="inlineStr">
        <is>
          <t xml:space="preserve">fixed</t>
        </is>
      </c>
      <c r="C56" s="0" t="inlineStr">
        <is>
          <t xml:space="preserve">fixed — сумма; percent — % оборота; once — один раз</t>
        </is>
      </c>
    </row>
    <row r="57" ht="42" customHeight="1">
      <c r="A57" s="0" t="inlineStr">
        <is>
          <t xml:space="preserve">Аренда · Сумма или ставка</t>
        </is>
      </c>
      <c r="B57" s="6">
        <v>250000</v>
      </c>
      <c r="C57" s="0" t="inlineStr">
        <is>
          <t xml:space="preserve"/>
        </is>
      </c>
    </row>
    <row r="58" ht="42" customHeight="1">
      <c r="A58" s="0" t="inlineStr">
        <is>
          <t xml:space="preserve">Аренда · Рост в месяц, %</t>
        </is>
      </c>
      <c r="B58" s="6">
        <v>0</v>
      </c>
      <c r="C58" s="0" t="inlineStr">
        <is>
          <t xml:space="preserve"/>
        </is>
      </c>
    </row>
    <row r="59" ht="42" customHeight="1">
      <c r="A59" s="0" t="inlineStr">
        <is>
          <t xml:space="preserve">Аренда · С месяца</t>
        </is>
      </c>
      <c r="B59" s="6">
        <v>1</v>
      </c>
      <c r="C59" s="0" t="inlineStr">
        <is>
          <t xml:space="preserve">Номер периода: 1 — М1, …, 12 — М12</t>
        </is>
      </c>
    </row>
    <row r="60" ht="42" customHeight="1">
      <c r="A60" s="0" t="inlineStr">
        <is>
          <t xml:space="preserve">Аренда · По месяц</t>
        </is>
      </c>
      <c r="B60" s="6">
        <v>12</v>
      </c>
      <c r="C60" s="0" t="inlineStr">
        <is>
          <t xml:space="preserve">Номер периода: 1 — М1, …, 12 — М12</t>
        </is>
      </c>
    </row>
    <row r="61" ht="42" customHeight="1">
      <c r="A61" s="0" t="inlineStr">
        <is>
          <t xml:space="preserve">Сервисы и связь · Название</t>
        </is>
      </c>
      <c r="B61" s="6" t="inlineStr">
        <is>
          <t xml:space="preserve">Сервисы и связь</t>
        </is>
      </c>
      <c r="C61" s="0" t="inlineStr">
        <is>
          <t xml:space="preserve"/>
        </is>
      </c>
    </row>
    <row r="62" ht="42" customHeight="1">
      <c r="A62" s="0" t="inlineStr">
        <is>
          <t xml:space="preserve">Сервисы и связь · Способ расчёта</t>
        </is>
      </c>
      <c r="B62" s="6" t="inlineStr">
        <is>
          <t xml:space="preserve">fixed</t>
        </is>
      </c>
      <c r="C62" s="0" t="inlineStr">
        <is>
          <t xml:space="preserve">fixed — сумма; percent — % оборота; once — один раз</t>
        </is>
      </c>
    </row>
    <row r="63" ht="42" customHeight="1">
      <c r="A63" s="0" t="inlineStr">
        <is>
          <t xml:space="preserve">Сервисы и связь · Сумма или ставка</t>
        </is>
      </c>
      <c r="B63" s="6">
        <v>35000</v>
      </c>
      <c r="C63" s="0" t="inlineStr">
        <is>
          <t xml:space="preserve"/>
        </is>
      </c>
    </row>
    <row r="64" ht="42" customHeight="1">
      <c r="A64" s="0" t="inlineStr">
        <is>
          <t xml:space="preserve">Сервисы и связь · Рост в месяц, %</t>
        </is>
      </c>
      <c r="B64" s="6">
        <v>0</v>
      </c>
      <c r="C64" s="0" t="inlineStr">
        <is>
          <t xml:space="preserve"/>
        </is>
      </c>
    </row>
    <row r="65" ht="42" customHeight="1">
      <c r="A65" s="0" t="inlineStr">
        <is>
          <t xml:space="preserve">Сервисы и связь · С месяца</t>
        </is>
      </c>
      <c r="B65" s="6">
        <v>1</v>
      </c>
      <c r="C65" s="0" t="inlineStr">
        <is>
          <t xml:space="preserve">Номер периода: 1 — М1, …, 12 — М12</t>
        </is>
      </c>
    </row>
    <row r="66" ht="42" customHeight="1">
      <c r="A66" s="0" t="inlineStr">
        <is>
          <t xml:space="preserve">Сервисы и связь · По месяц</t>
        </is>
      </c>
      <c r="B66" s="6">
        <v>12</v>
      </c>
      <c r="C66" s="0" t="inlineStr">
        <is>
          <t xml:space="preserve">Номер периода: 1 — М1, …, 12 — М12</t>
        </is>
      </c>
    </row>
  </sheetData>
  <mergeCells count="2">
    <mergeCell ref="A1:C1"/>
    <mergeCell ref="A2:C2"/>
  </mergeCells>
  <dataValidations count="58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1000000000000</formula2>
    </dataValidation>
    <dataValidation type="decimal" operator="between" allowBlank="0" showErrorMessage="1" sqref="B18">
      <formula1>0</formula1>
      <formula2>1000000000000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1000000000000</formula2>
    </dataValidation>
    <dataValidation type="decimal" operator="between" allowBlank="0" showErrorMessage="1" sqref="B23">
      <formula1>0</formula1>
      <formula2>1000000000000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1000000000000</formula2>
    </dataValidation>
    <dataValidation type="decimal" operator="between" allowBlank="0" showErrorMessage="1" sqref="B27">
      <formula1>0</formula1>
      <formula2>1000000000000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-100</formula1>
      <formula2>100</formula2>
    </dataValidation>
    <dataValidation type="decimal" operator="between" allowBlank="0" showErrorMessage="1" sqref="B34">
      <formula1>0</formula1>
      <formula2>100</formula2>
    </dataValidation>
    <dataValidation type="whole" operator="between" allowBlank="0" showErrorMessage="1" sqref="B35">
      <formula1>1</formula1>
      <formula2>12</formula2>
    </dataValidation>
    <dataValidation type="whole" operator="between" allowBlank="0" showErrorMessage="1" sqref="B36">
      <formula1>1</formula1>
      <formula2>12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</formula2>
    </dataValidation>
    <dataValidation type="decimal" operator="between" allowBlank="0" showErrorMessage="1" sqref="B42">
      <formula1>-100</formula1>
      <formula2>100</formula2>
    </dataValidation>
    <dataValidation type="whole" operator="between" allowBlank="0" showErrorMessage="1" sqref="B43">
      <formula1>1</formula1>
      <formula2>12</formula2>
    </dataValidation>
    <dataValidation type="whole" operator="between" allowBlank="0" showErrorMessage="1" sqref="B44">
      <formula1>1</formula1>
      <formula2>12</formula2>
    </dataValidation>
    <dataValidation type="decimal" operator="between" allowBlank="0" showErrorMessage="1" sqref="B46">
      <formula1>0</formula1>
      <formula2>1000000000000</formula2>
    </dataValidation>
    <dataValidation type="decimal" operator="between" allowBlank="0" showErrorMessage="1" sqref="B47">
      <formula1>0</formula1>
      <formula2>100</formula2>
    </dataValidation>
    <dataValidation type="decimal" operator="between" allowBlank="0" showErrorMessage="1" sqref="B48">
      <formula1>-100</formula1>
      <formula2>100</formula2>
    </dataValidation>
    <dataValidation type="decimal" operator="between" allowBlank="0" showErrorMessage="1" sqref="B49">
      <formula1>0</formula1>
      <formula2>1000000000000</formula2>
    </dataValidation>
    <dataValidation type="decimal" operator="between" allowBlank="0" showErrorMessage="1" sqref="B50">
      <formula1>0</formula1>
      <formula2>100</formula2>
    </dataValidation>
    <dataValidation type="decimal" operator="between" allowBlank="0" showErrorMessage="1" sqref="B51">
      <formula1>0</formula1>
      <formula2>100</formula2>
    </dataValidation>
    <dataValidation type="decimal" operator="between" allowBlank="0" showErrorMessage="1" sqref="B52">
      <formula1>0</formula1>
      <formula2>1000000000000</formula2>
    </dataValidation>
    <dataValidation type="whole" operator="between" allowBlank="0" showErrorMessage="1" sqref="B53">
      <formula1>1</formula1>
      <formula2>12</formula2>
    </dataValidation>
    <dataValidation type="whole" operator="between" allowBlank="0" showErrorMessage="1" sqref="B54">
      <formula1>1</formula1>
      <formula2>12</formula2>
    </dataValidation>
    <dataValidation type="list" allowBlank="0" showErrorMessage="1" sqref="B56">
      <formula1>"fixed,percent,once"</formula1>
    </dataValidation>
    <dataValidation type="decimal" operator="between" allowBlank="0" showErrorMessage="1" sqref="B57">
      <formula1>0</formula1>
      <formula2>1000000000000</formula2>
    </dataValidation>
    <dataValidation type="decimal" operator="between" allowBlank="0" showErrorMessage="1" sqref="B58">
      <formula1>-100</formula1>
      <formula2>100</formula2>
    </dataValidation>
    <dataValidation type="whole" operator="between" allowBlank="0" showErrorMessage="1" sqref="B59">
      <formula1>1</formula1>
      <formula2>12</formula2>
    </dataValidation>
    <dataValidation type="whole" operator="between" allowBlank="0" showErrorMessage="1" sqref="B60">
      <formula1>1</formula1>
      <formula2>12</formula2>
    </dataValidation>
    <dataValidation type="list" allowBlank="0" showErrorMessage="1" sqref="B62">
      <formula1>"fixed,percent,once"</formula1>
    </dataValidation>
    <dataValidation type="decimal" operator="between" allowBlank="0" showErrorMessage="1" sqref="B63">
      <formula1>0</formula1>
      <formula2>1000000000000</formula2>
    </dataValidation>
    <dataValidation type="decimal" operator="between" allowBlank="0" showErrorMessage="1" sqref="B64">
      <formula1>-100</formula1>
      <formula2>100</formula2>
    </dataValidation>
    <dataValidation type="whole" operator="between" allowBlank="0" showErrorMessage="1" sqref="B65">
      <formula1>1</formula1>
      <formula2>12</formula2>
    </dataValidation>
    <dataValidation type="whole" operator="between" allowBlank="0" showErrorMessage="1" sqref="B66">
      <formula1>1</formula1>
      <formula2>12</formula2>
    </dataValidation>
  </dataValidations>
</worksheet>
</file>